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113\Desktop\"/>
    </mc:Choice>
  </mc:AlternateContent>
  <xr:revisionPtr revIDLastSave="0" documentId="13_ncr:1_{C1EEB385-7A50-45B7-A315-68ED06CED1E4}" xr6:coauthVersionLast="47" xr6:coauthVersionMax="47" xr10:uidLastSave="{00000000-0000-0000-0000-000000000000}"/>
  <bookViews>
    <workbookView xWindow="-120" yWindow="-120" windowWidth="20730" windowHeight="11040" xr2:uid="{4A369B84-176A-4D0D-BFB9-664BDE7AD73A}"/>
  </bookViews>
  <sheets>
    <sheet name="ファイル一覧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3" i="1" l="1"/>
  <c r="F9" i="1"/>
  <c r="F10" i="1"/>
  <c r="F4" i="1"/>
  <c r="F14" i="1"/>
  <c r="F15" i="1"/>
  <c r="F16" i="1"/>
  <c r="F17" i="1"/>
  <c r="F18" i="1"/>
  <c r="F19" i="1"/>
  <c r="F20" i="1"/>
  <c r="F21" i="1"/>
  <c r="F22" i="1"/>
  <c r="F23" i="1"/>
  <c r="F5" i="1"/>
  <c r="F6" i="1"/>
  <c r="F7" i="1"/>
  <c r="F8" i="1"/>
  <c r="F11" i="1"/>
  <c r="F12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C29" i="1" l="1"/>
  <c r="C30" i="1"/>
  <c r="C31" i="1"/>
  <c r="C32" i="1"/>
  <c r="C33" i="1"/>
  <c r="C34" i="1"/>
  <c r="C35" i="1"/>
  <c r="C36" i="1"/>
  <c r="B29" i="1"/>
  <c r="B30" i="1"/>
  <c r="B31" i="1"/>
  <c r="B32" i="1"/>
  <c r="B33" i="1"/>
  <c r="B34" i="1"/>
  <c r="B35" i="1"/>
  <c r="B36" i="1"/>
  <c r="C9" i="1"/>
  <c r="C18" i="1"/>
  <c r="C6" i="1"/>
  <c r="C8" i="1"/>
  <c r="C25" i="1"/>
  <c r="C27" i="1"/>
  <c r="B13" i="1"/>
  <c r="B9" i="1"/>
  <c r="B4" i="1"/>
  <c r="B15" i="1"/>
  <c r="B18" i="1"/>
  <c r="B19" i="1"/>
  <c r="B21" i="1"/>
  <c r="B23" i="1"/>
  <c r="B5" i="1"/>
  <c r="B6" i="1"/>
  <c r="B7" i="1"/>
  <c r="B8" i="1"/>
  <c r="B11" i="1"/>
  <c r="B12" i="1"/>
  <c r="B24" i="1"/>
  <c r="B25" i="1"/>
  <c r="B26" i="1"/>
  <c r="B27" i="1"/>
  <c r="B28" i="1"/>
  <c r="C10" i="1"/>
  <c r="C4" i="1"/>
  <c r="C14" i="1"/>
  <c r="C15" i="1"/>
  <c r="C16" i="1"/>
  <c r="C17" i="1"/>
  <c r="C19" i="1"/>
  <c r="C20" i="1"/>
  <c r="C21" i="1"/>
  <c r="C22" i="1"/>
  <c r="C23" i="1"/>
  <c r="C5" i="1"/>
  <c r="C7" i="1"/>
  <c r="C11" i="1"/>
  <c r="C12" i="1"/>
  <c r="C24" i="1"/>
  <c r="C26" i="1"/>
  <c r="C28" i="1"/>
  <c r="B10" i="1"/>
  <c r="B14" i="1"/>
  <c r="B16" i="1"/>
  <c r="B17" i="1"/>
  <c r="B20" i="1"/>
  <c r="B22" i="1"/>
  <c r="C13" i="1"/>
</calcChain>
</file>

<file path=xl/sharedStrings.xml><?xml version="1.0" encoding="utf-8"?>
<sst xmlns="http://schemas.openxmlformats.org/spreadsheetml/2006/main" count="67" uniqueCount="64">
  <si>
    <t>配置場所</t>
    <rPh sb="0" eb="4">
      <t>ハイチバショ</t>
    </rPh>
    <phoneticPr fontId="1"/>
  </si>
  <si>
    <t>ファイル名</t>
    <rPh sb="4" eb="5">
      <t>メイ</t>
    </rPh>
    <phoneticPr fontId="1"/>
  </si>
  <si>
    <t>内容</t>
    <rPh sb="0" eb="2">
      <t>ナイヨウ</t>
    </rPh>
    <phoneticPr fontId="1"/>
  </si>
  <si>
    <t>ConnectionManager</t>
  </si>
  <si>
    <t>レイヤ</t>
    <phoneticPr fontId="1"/>
  </si>
  <si>
    <t>login.jsp</t>
  </si>
  <si>
    <t>logout.jsp</t>
  </si>
  <si>
    <t>menu.jsp</t>
  </si>
  <si>
    <t>task-edit-form.jsp</t>
  </si>
  <si>
    <t>task-delete-form.jsp</t>
  </si>
  <si>
    <t>task-add-form.jsp</t>
    <phoneticPr fontId="1"/>
  </si>
  <si>
    <t>task-add-success.jsp</t>
    <phoneticPr fontId="1"/>
  </si>
  <si>
    <t>task-list.jsp</t>
    <phoneticPr fontId="1"/>
  </si>
  <si>
    <t>task-edit-success.jsp</t>
    <phoneticPr fontId="1"/>
  </si>
  <si>
    <t>task-delete-success.jsp</t>
    <phoneticPr fontId="1"/>
  </si>
  <si>
    <t>TaskListSeavlet.java</t>
    <phoneticPr fontId="1"/>
  </si>
  <si>
    <t>LoginServlet.java</t>
    <phoneticPr fontId="1"/>
  </si>
  <si>
    <t>UserBean.java</t>
    <phoneticPr fontId="1"/>
  </si>
  <si>
    <t>ConnectionManager.java</t>
    <phoneticPr fontId="1"/>
  </si>
  <si>
    <t>UserDAO.java</t>
    <phoneticPr fontId="1"/>
  </si>
  <si>
    <t>TaskEditSeavlet.java</t>
    <phoneticPr fontId="1"/>
  </si>
  <si>
    <t>TaskDelete-Seavlet.java</t>
    <phoneticPr fontId="1"/>
  </si>
  <si>
    <t>TaskAddSeavlet.java</t>
    <phoneticPr fontId="1"/>
  </si>
  <si>
    <t>CategoryBean.java</t>
    <phoneticPr fontId="1"/>
  </si>
  <si>
    <t>StatusBean.java</t>
    <phoneticPr fontId="1"/>
  </si>
  <si>
    <t>Bean</t>
  </si>
  <si>
    <t>jspファイル</t>
  </si>
  <si>
    <t>Seavlet</t>
  </si>
  <si>
    <t>DAO</t>
    <phoneticPr fontId="1"/>
  </si>
  <si>
    <t>task-add-failure.jsp</t>
    <phoneticPr fontId="1"/>
  </si>
  <si>
    <t>task-edit-failure.jsp</t>
    <phoneticPr fontId="1"/>
  </si>
  <si>
    <t>task-delete-failure.jsp</t>
    <phoneticPr fontId="1"/>
  </si>
  <si>
    <t>ファイル種類</t>
    <rPh sb="4" eb="6">
      <t>シュルイ</t>
    </rPh>
    <phoneticPr fontId="1"/>
  </si>
  <si>
    <t>ファイル種類番号</t>
    <rPh sb="4" eb="6">
      <t>シュルイ</t>
    </rPh>
    <rPh sb="6" eb="8">
      <t>バンゴウ</t>
    </rPh>
    <phoneticPr fontId="1"/>
  </si>
  <si>
    <t>コネクションマネージャー</t>
    <phoneticPr fontId="1"/>
  </si>
  <si>
    <t>Controller</t>
    <phoneticPr fontId="1"/>
  </si>
  <si>
    <t>View</t>
    <phoneticPr fontId="1"/>
  </si>
  <si>
    <t>Model</t>
    <phoneticPr fontId="1"/>
  </si>
  <si>
    <t>webapp</t>
    <phoneticPr fontId="1"/>
  </si>
  <si>
    <t>model.daoパッケージ</t>
    <phoneticPr fontId="1"/>
  </si>
  <si>
    <t>servletパッケージ</t>
    <phoneticPr fontId="1"/>
  </si>
  <si>
    <t>model.entityパッケージ</t>
    <phoneticPr fontId="1"/>
  </si>
  <si>
    <t>m_userテーブルにアクセスするDAOクラス</t>
    <phoneticPr fontId="1"/>
  </si>
  <si>
    <t>ログイン情報を入力するフォーム画面</t>
    <rPh sb="4" eb="6">
      <t>ジョウホウ</t>
    </rPh>
    <rPh sb="7" eb="9">
      <t>ニュウリョク</t>
    </rPh>
    <rPh sb="15" eb="17">
      <t>ガメン</t>
    </rPh>
    <phoneticPr fontId="1"/>
  </si>
  <si>
    <t>ログアウトしたことを表示する画面</t>
    <rPh sb="10" eb="12">
      <t>ヒョウジ</t>
    </rPh>
    <rPh sb="14" eb="16">
      <t>ガメン</t>
    </rPh>
    <phoneticPr fontId="1"/>
  </si>
  <si>
    <t>メニューを表示するメニュー画面</t>
    <rPh sb="5" eb="7">
      <t>ヒョウジ</t>
    </rPh>
    <rPh sb="13" eb="15">
      <t>ガメン</t>
    </rPh>
    <phoneticPr fontId="1"/>
  </si>
  <si>
    <t>タスクの編集をするフォーム画面</t>
    <rPh sb="4" eb="6">
      <t>ヘンシュウ</t>
    </rPh>
    <rPh sb="13" eb="15">
      <t>ガメン</t>
    </rPh>
    <phoneticPr fontId="1"/>
  </si>
  <si>
    <t>タスクの削除をするフォーム画面</t>
    <rPh sb="4" eb="6">
      <t>サクジョ</t>
    </rPh>
    <rPh sb="13" eb="15">
      <t>ガメン</t>
    </rPh>
    <phoneticPr fontId="1"/>
  </si>
  <si>
    <t>タスクの登録をするフォーム画面</t>
    <rPh sb="4" eb="6">
      <t>トウロク</t>
    </rPh>
    <rPh sb="13" eb="15">
      <t>ガメン</t>
    </rPh>
    <phoneticPr fontId="1"/>
  </si>
  <si>
    <t>タスク登録に成功したことを表示する画面</t>
    <rPh sb="3" eb="5">
      <t>トウロク</t>
    </rPh>
    <rPh sb="6" eb="8">
      <t>セイコウ</t>
    </rPh>
    <rPh sb="13" eb="15">
      <t>ヒョウジ</t>
    </rPh>
    <rPh sb="17" eb="19">
      <t>ガメン</t>
    </rPh>
    <phoneticPr fontId="1"/>
  </si>
  <si>
    <t>タスク一覧を表示する画面</t>
    <rPh sb="3" eb="5">
      <t>イチラン</t>
    </rPh>
    <rPh sb="6" eb="8">
      <t>ヒョウジ</t>
    </rPh>
    <rPh sb="10" eb="12">
      <t>ガメン</t>
    </rPh>
    <phoneticPr fontId="1"/>
  </si>
  <si>
    <t>タスク編集に成功したことを表示する画面</t>
    <rPh sb="3" eb="5">
      <t>ヘンシュウ</t>
    </rPh>
    <phoneticPr fontId="1"/>
  </si>
  <si>
    <t>タスク削除に成功したことを表示する画面</t>
    <rPh sb="3" eb="5">
      <t>サクジョ</t>
    </rPh>
    <phoneticPr fontId="1"/>
  </si>
  <si>
    <t>タスク追加に失敗したことを表示する画面</t>
    <rPh sb="3" eb="5">
      <t>ツイカ</t>
    </rPh>
    <rPh sb="6" eb="8">
      <t>シッパイ</t>
    </rPh>
    <phoneticPr fontId="1"/>
  </si>
  <si>
    <t>タスク編集に失敗したことを表示する画面</t>
    <rPh sb="3" eb="5">
      <t>ヘンシュウ</t>
    </rPh>
    <rPh sb="6" eb="8">
      <t>シッパイ</t>
    </rPh>
    <phoneticPr fontId="1"/>
  </si>
  <si>
    <t>タスク削除に失敗したことを表示する画面</t>
    <rPh sb="3" eb="5">
      <t>サクジョ</t>
    </rPh>
    <rPh sb="6" eb="8">
      <t>シッパイ</t>
    </rPh>
    <phoneticPr fontId="1"/>
  </si>
  <si>
    <t>ログイン処理を行うコントロールクラス</t>
    <rPh sb="4" eb="6">
      <t>ショリ</t>
    </rPh>
    <rPh sb="7" eb="8">
      <t>オコナ</t>
    </rPh>
    <phoneticPr fontId="1"/>
  </si>
  <si>
    <t>タスク一覧の表示を行うコントロールクラス</t>
    <rPh sb="3" eb="5">
      <t>イチラン</t>
    </rPh>
    <rPh sb="6" eb="8">
      <t>ヒョウジ</t>
    </rPh>
    <rPh sb="9" eb="10">
      <t>オコナ</t>
    </rPh>
    <phoneticPr fontId="1"/>
  </si>
  <si>
    <t>タスクの情報変更処理を行うコントロールクラス</t>
    <rPh sb="4" eb="6">
      <t>ジョウホウ</t>
    </rPh>
    <rPh sb="6" eb="8">
      <t>ヘンコウ</t>
    </rPh>
    <rPh sb="8" eb="10">
      <t>ショリ</t>
    </rPh>
    <rPh sb="11" eb="12">
      <t>オコナ</t>
    </rPh>
    <phoneticPr fontId="1"/>
  </si>
  <si>
    <t>タスク情報削除を行うコントロールクラス</t>
    <rPh sb="3" eb="5">
      <t>ジョウホウ</t>
    </rPh>
    <rPh sb="5" eb="7">
      <t>サクジョ</t>
    </rPh>
    <rPh sb="8" eb="9">
      <t>オコナ</t>
    </rPh>
    <phoneticPr fontId="1"/>
  </si>
  <si>
    <t>タスク登録処理を行うコントロールクラス</t>
    <rPh sb="3" eb="5">
      <t>トウロク</t>
    </rPh>
    <rPh sb="5" eb="7">
      <t>ショリ</t>
    </rPh>
    <rPh sb="8" eb="9">
      <t>オコナ</t>
    </rPh>
    <phoneticPr fontId="1"/>
  </si>
  <si>
    <t>カテゴリ情報を保持するentityクラス</t>
    <rPh sb="4" eb="6">
      <t>ジョウホウ</t>
    </rPh>
    <rPh sb="7" eb="9">
      <t>ホジ</t>
    </rPh>
    <phoneticPr fontId="1"/>
  </si>
  <si>
    <t>利用者情報を保持するentityクラス</t>
    <rPh sb="0" eb="5">
      <t>リヨウシャジョウホウ</t>
    </rPh>
    <rPh sb="6" eb="8">
      <t>ホジ</t>
    </rPh>
    <phoneticPr fontId="1"/>
  </si>
  <si>
    <t>ステータス情報を保持するentityクラス</t>
    <rPh sb="5" eb="7">
      <t>ジョウホウ</t>
    </rPh>
    <rPh sb="8" eb="10">
      <t>ホジ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</si>
</sst>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429287-11A2-4B0B-829A-C13AF3056B74}" name="テーブル2" displayName="テーブル2" ref="B3:G36" totalsRowShown="0">
  <autoFilter ref="B3:G36" xr:uid="{35429287-11A2-4B0B-829A-C13AF3056B74}"/>
  <sortState xmlns:xlrd2="http://schemas.microsoft.com/office/spreadsheetml/2017/richdata2" ref="B4:G36">
    <sortCondition ref="B3:B36"/>
  </sortState>
  <tableColumns count="6">
    <tableColumn id="1" xr3:uid="{69642642-975E-4315-A040-B5AFDBF52485}" name="レイヤ" dataDxfId="2">
      <calculatedColumnFormula>VLOOKUP(テーブル2[[#This Row],[ファイル種類]],Sheet2!$B$1:$C$5,2,FALSE)</calculatedColumnFormula>
    </tableColumn>
    <tableColumn id="2" xr3:uid="{01DED257-D073-4B65-A017-3191B199D407}" name="配置場所" dataDxfId="1">
      <calculatedColumnFormula>VLOOKUP(テーブル2[[#This Row],[ファイル種類]],Sheet2!$B$1:$D$5,3,FALSE)</calculatedColumnFormula>
    </tableColumn>
    <tableColumn id="3" xr3:uid="{10D378EB-2420-4F6D-94EB-578C28C48887}" name="ファイル名"/>
    <tableColumn id="4" xr3:uid="{BD40918F-95FC-4779-9466-EEC593EC9C60}" name="内容"/>
    <tableColumn id="5" xr3:uid="{61E9B625-6B0A-43DC-B4E2-261AFA95DB79}" name="ファイル種類" dataDxfId="0">
      <calculatedColumnFormula>VLOOKUP(テーブル2[[#This Row],[ファイル種類番号]],Sheet2!$A$1:$B$5,2,FALSE)</calculatedColumnFormula>
    </tableColumn>
    <tableColumn id="6" xr3:uid="{339BCFBD-8ACC-4A6E-AE26-4A3C9DF9F927}" name="ファイル種類番号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5B600-9E48-4077-B262-F985B8C16AE8}">
  <dimension ref="B3:G36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C1" sqref="C1"/>
    </sheetView>
  </sheetViews>
  <sheetFormatPr defaultRowHeight="18.75" x14ac:dyDescent="0.4"/>
  <cols>
    <col min="2" max="5" width="25.625" customWidth="1"/>
    <col min="6" max="6" width="19.75" bestFit="1" customWidth="1"/>
    <col min="7" max="7" width="19.375" bestFit="1" customWidth="1"/>
  </cols>
  <sheetData>
    <row r="3" spans="2:7" x14ac:dyDescent="0.4">
      <c r="B3" t="s">
        <v>4</v>
      </c>
      <c r="C3" t="s">
        <v>0</v>
      </c>
      <c r="D3" t="s">
        <v>1</v>
      </c>
      <c r="E3" t="s">
        <v>2</v>
      </c>
      <c r="F3" t="s">
        <v>32</v>
      </c>
      <c r="G3" t="s">
        <v>33</v>
      </c>
    </row>
    <row r="4" spans="2:7" ht="35.1" customHeight="1" x14ac:dyDescent="0.4">
      <c r="B4" t="str">
        <f>VLOOKUP(テーブル2[[#This Row],[ファイル種類]],Sheet2!$B$1:$C$5,2,FALSE)</f>
        <v>Controller</v>
      </c>
      <c r="C4" t="str">
        <f>VLOOKUP(テーブル2[[#This Row],[ファイル種類]],Sheet2!$B$1:$D$5,3,FALSE)</f>
        <v>servletパッケージ</v>
      </c>
      <c r="D4" t="s">
        <v>16</v>
      </c>
      <c r="E4" s="1" t="s">
        <v>56</v>
      </c>
      <c r="F4" t="str">
        <f>VLOOKUP(テーブル2[[#This Row],[ファイル種類番号]],Sheet2!$A$1:$B$5,2,FALSE)</f>
        <v>Seavlet</v>
      </c>
      <c r="G4">
        <v>2</v>
      </c>
    </row>
    <row r="5" spans="2:7" ht="35.1" customHeight="1" x14ac:dyDescent="0.4">
      <c r="B5" t="str">
        <f>VLOOKUP(テーブル2[[#This Row],[ファイル種類]],Sheet2!$B$1:$C$5,2,FALSE)</f>
        <v>Controller</v>
      </c>
      <c r="C5" t="str">
        <f>VLOOKUP(テーブル2[[#This Row],[ファイル種類]],Sheet2!$B$1:$D$5,3,FALSE)</f>
        <v>servletパッケージ</v>
      </c>
      <c r="D5" t="s">
        <v>15</v>
      </c>
      <c r="E5" s="1" t="s">
        <v>57</v>
      </c>
      <c r="F5" t="str">
        <f>VLOOKUP(テーブル2[[#This Row],[ファイル種類番号]],Sheet2!$A$1:$B$5,2,FALSE)</f>
        <v>Seavlet</v>
      </c>
      <c r="G5">
        <v>2</v>
      </c>
    </row>
    <row r="6" spans="2:7" ht="35.1" customHeight="1" x14ac:dyDescent="0.4">
      <c r="B6" t="str">
        <f>VLOOKUP(テーブル2[[#This Row],[ファイル種類]],Sheet2!$B$1:$C$5,2,FALSE)</f>
        <v>Controller</v>
      </c>
      <c r="C6" t="str">
        <f>VLOOKUP(テーブル2[[#This Row],[ファイル種類]],Sheet2!$B$1:$D$5,3,FALSE)</f>
        <v>servletパッケージ</v>
      </c>
      <c r="D6" t="s">
        <v>20</v>
      </c>
      <c r="E6" s="1" t="s">
        <v>58</v>
      </c>
      <c r="F6" t="str">
        <f>VLOOKUP(テーブル2[[#This Row],[ファイル種類番号]],Sheet2!$A$1:$B$5,2,FALSE)</f>
        <v>Seavlet</v>
      </c>
      <c r="G6">
        <v>2</v>
      </c>
    </row>
    <row r="7" spans="2:7" ht="35.1" customHeight="1" x14ac:dyDescent="0.4">
      <c r="B7" t="str">
        <f>VLOOKUP(テーブル2[[#This Row],[ファイル種類]],Sheet2!$B$1:$C$5,2,FALSE)</f>
        <v>Controller</v>
      </c>
      <c r="C7" t="str">
        <f>VLOOKUP(テーブル2[[#This Row],[ファイル種類]],Sheet2!$B$1:$D$5,3,FALSE)</f>
        <v>servletパッケージ</v>
      </c>
      <c r="D7" t="s">
        <v>21</v>
      </c>
      <c r="E7" s="1" t="s">
        <v>59</v>
      </c>
      <c r="F7" t="str">
        <f>VLOOKUP(テーブル2[[#This Row],[ファイル種類番号]],Sheet2!$A$1:$B$5,2,FALSE)</f>
        <v>Seavlet</v>
      </c>
      <c r="G7">
        <v>2</v>
      </c>
    </row>
    <row r="8" spans="2:7" ht="35.1" customHeight="1" x14ac:dyDescent="0.4">
      <c r="B8" t="str">
        <f>VLOOKUP(テーブル2[[#This Row],[ファイル種類]],Sheet2!$B$1:$C$5,2,FALSE)</f>
        <v>Controller</v>
      </c>
      <c r="C8" t="str">
        <f>VLOOKUP(テーブル2[[#This Row],[ファイル種類]],Sheet2!$B$1:$D$5,3,FALSE)</f>
        <v>servletパッケージ</v>
      </c>
      <c r="D8" t="s">
        <v>22</v>
      </c>
      <c r="E8" s="1" t="s">
        <v>60</v>
      </c>
      <c r="F8" t="str">
        <f>VLOOKUP(テーブル2[[#This Row],[ファイル種類番号]],Sheet2!$A$1:$B$5,2,FALSE)</f>
        <v>Seavlet</v>
      </c>
      <c r="G8">
        <v>2</v>
      </c>
    </row>
    <row r="9" spans="2:7" ht="35.1" customHeight="1" x14ac:dyDescent="0.4">
      <c r="B9" t="str">
        <f>VLOOKUP(テーブル2[[#This Row],[ファイル種類]],Sheet2!$B$1:$C$5,2,FALSE)</f>
        <v>Model</v>
      </c>
      <c r="C9" t="str">
        <f>VLOOKUP(テーブル2[[#This Row],[ファイル種類]],Sheet2!$B$1:$D$5,3,FALSE)</f>
        <v>model.daoパッケージ</v>
      </c>
      <c r="D9" t="s">
        <v>19</v>
      </c>
      <c r="E9" s="1" t="s">
        <v>42</v>
      </c>
      <c r="F9" t="str">
        <f>VLOOKUP(テーブル2[[#This Row],[ファイル種類番号]],Sheet2!$A$1:$B$5,2,FALSE)</f>
        <v>DAO</v>
      </c>
      <c r="G9">
        <v>3</v>
      </c>
    </row>
    <row r="10" spans="2:7" ht="35.1" customHeight="1" x14ac:dyDescent="0.4">
      <c r="B10" t="str">
        <f>VLOOKUP(テーブル2[[#This Row],[ファイル種類]],Sheet2!$B$1:$C$5,2,FALSE)</f>
        <v>Model</v>
      </c>
      <c r="C10" t="str">
        <f>VLOOKUP(テーブル2[[#This Row],[ファイル種類]],Sheet2!$B$1:$D$5,3,FALSE)</f>
        <v>model.entityパッケージ</v>
      </c>
      <c r="D10" t="s">
        <v>17</v>
      </c>
      <c r="E10" s="1" t="s">
        <v>62</v>
      </c>
      <c r="F10" t="str">
        <f>VLOOKUP(テーブル2[[#This Row],[ファイル種類番号]],Sheet2!$A$1:$B$5,2,FALSE)</f>
        <v>Bean</v>
      </c>
      <c r="G10">
        <v>4</v>
      </c>
    </row>
    <row r="11" spans="2:7" ht="35.1" customHeight="1" x14ac:dyDescent="0.4">
      <c r="B11" t="str">
        <f>VLOOKUP(テーブル2[[#This Row],[ファイル種類]],Sheet2!$B$1:$C$5,2,FALSE)</f>
        <v>Model</v>
      </c>
      <c r="C11" t="str">
        <f>VLOOKUP(テーブル2[[#This Row],[ファイル種類]],Sheet2!$B$1:$D$5,3,FALSE)</f>
        <v>model.entityパッケージ</v>
      </c>
      <c r="D11" t="s">
        <v>23</v>
      </c>
      <c r="E11" s="1" t="s">
        <v>61</v>
      </c>
      <c r="F11" t="str">
        <f>VLOOKUP(テーブル2[[#This Row],[ファイル種類番号]],Sheet2!$A$1:$B$5,2,FALSE)</f>
        <v>Bean</v>
      </c>
      <c r="G11">
        <v>4</v>
      </c>
    </row>
    <row r="12" spans="2:7" ht="35.1" customHeight="1" x14ac:dyDescent="0.4">
      <c r="B12" t="str">
        <f>VLOOKUP(テーブル2[[#This Row],[ファイル種類]],Sheet2!$B$1:$C$5,2,FALSE)</f>
        <v>Model</v>
      </c>
      <c r="C12" t="str">
        <f>VLOOKUP(テーブル2[[#This Row],[ファイル種類]],Sheet2!$B$1:$D$5,3,FALSE)</f>
        <v>model.entityパッケージ</v>
      </c>
      <c r="D12" t="s">
        <v>24</v>
      </c>
      <c r="E12" s="1" t="s">
        <v>63</v>
      </c>
      <c r="F12" t="str">
        <f>VLOOKUP(テーブル2[[#This Row],[ファイル種類番号]],Sheet2!$A$1:$B$5,2,FALSE)</f>
        <v>Bean</v>
      </c>
      <c r="G12">
        <v>4</v>
      </c>
    </row>
    <row r="13" spans="2:7" ht="35.1" customHeight="1" x14ac:dyDescent="0.4">
      <c r="B13" t="str">
        <f>VLOOKUP(テーブル2[[#This Row],[ファイル種類]],Sheet2!$B$1:$C$5,2,FALSE)</f>
        <v>Model</v>
      </c>
      <c r="C13" t="str">
        <f>VLOOKUP(テーブル2[[#This Row],[ファイル種類]],Sheet2!$B$1:$D$5,3,FALSE)</f>
        <v>model.daoパッケージ</v>
      </c>
      <c r="D13" t="s">
        <v>18</v>
      </c>
      <c r="E13" s="1" t="s">
        <v>34</v>
      </c>
      <c r="F13" t="str">
        <f>VLOOKUP(テーブル2[[#This Row],[ファイル種類番号]],Sheet2!$A$1:$B$5,2,FALSE)</f>
        <v>ConnectionManager</v>
      </c>
      <c r="G13">
        <v>5</v>
      </c>
    </row>
    <row r="14" spans="2:7" ht="35.1" customHeight="1" x14ac:dyDescent="0.4">
      <c r="B14" t="str">
        <f>VLOOKUP(テーブル2[[#This Row],[ファイル種類]],Sheet2!$B$1:$C$5,2,FALSE)</f>
        <v>View</v>
      </c>
      <c r="C14" t="str">
        <f>VLOOKUP(テーブル2[[#This Row],[ファイル種類]],Sheet2!$B$1:$D$5,3,FALSE)</f>
        <v>webapp</v>
      </c>
      <c r="D14" t="s">
        <v>5</v>
      </c>
      <c r="E14" s="1" t="s">
        <v>43</v>
      </c>
      <c r="F14" t="str">
        <f>VLOOKUP(テーブル2[[#This Row],[ファイル種類番号]],Sheet2!$A$1:$B$5,2,FALSE)</f>
        <v>jspファイル</v>
      </c>
      <c r="G14">
        <v>1</v>
      </c>
    </row>
    <row r="15" spans="2:7" ht="35.1" customHeight="1" x14ac:dyDescent="0.4">
      <c r="B15" t="str">
        <f>VLOOKUP(テーブル2[[#This Row],[ファイル種類]],Sheet2!$B$1:$C$5,2,FALSE)</f>
        <v>View</v>
      </c>
      <c r="C15" t="str">
        <f>VLOOKUP(テーブル2[[#This Row],[ファイル種類]],Sheet2!$B$1:$D$5,3,FALSE)</f>
        <v>webapp</v>
      </c>
      <c r="D15" t="s">
        <v>6</v>
      </c>
      <c r="E15" s="1" t="s">
        <v>44</v>
      </c>
      <c r="F15" t="str">
        <f>VLOOKUP(テーブル2[[#This Row],[ファイル種類番号]],Sheet2!$A$1:$B$5,2,FALSE)</f>
        <v>jspファイル</v>
      </c>
      <c r="G15">
        <v>1</v>
      </c>
    </row>
    <row r="16" spans="2:7" ht="35.1" customHeight="1" x14ac:dyDescent="0.4">
      <c r="B16" t="str">
        <f>VLOOKUP(テーブル2[[#This Row],[ファイル種類]],Sheet2!$B$1:$C$5,2,FALSE)</f>
        <v>View</v>
      </c>
      <c r="C16" t="str">
        <f>VLOOKUP(テーブル2[[#This Row],[ファイル種類]],Sheet2!$B$1:$D$5,3,FALSE)</f>
        <v>webapp</v>
      </c>
      <c r="D16" t="s">
        <v>7</v>
      </c>
      <c r="E16" s="1" t="s">
        <v>45</v>
      </c>
      <c r="F16" t="str">
        <f>VLOOKUP(テーブル2[[#This Row],[ファイル種類番号]],Sheet2!$A$1:$B$5,2,FALSE)</f>
        <v>jspファイル</v>
      </c>
      <c r="G16">
        <v>1</v>
      </c>
    </row>
    <row r="17" spans="2:7" ht="35.1" customHeight="1" x14ac:dyDescent="0.4">
      <c r="B17" t="str">
        <f>VLOOKUP(テーブル2[[#This Row],[ファイル種類]],Sheet2!$B$1:$C$5,2,FALSE)</f>
        <v>View</v>
      </c>
      <c r="C17" t="str">
        <f>VLOOKUP(テーブル2[[#This Row],[ファイル種類]],Sheet2!$B$1:$D$5,3,FALSE)</f>
        <v>webapp</v>
      </c>
      <c r="D17" t="s">
        <v>8</v>
      </c>
      <c r="E17" s="1" t="s">
        <v>46</v>
      </c>
      <c r="F17" t="str">
        <f>VLOOKUP(テーブル2[[#This Row],[ファイル種類番号]],Sheet2!$A$1:$B$5,2,FALSE)</f>
        <v>jspファイル</v>
      </c>
      <c r="G17">
        <v>1</v>
      </c>
    </row>
    <row r="18" spans="2:7" ht="35.1" customHeight="1" x14ac:dyDescent="0.4">
      <c r="B18" t="str">
        <f>VLOOKUP(テーブル2[[#This Row],[ファイル種類]],Sheet2!$B$1:$C$5,2,FALSE)</f>
        <v>View</v>
      </c>
      <c r="C18" t="str">
        <f>VLOOKUP(テーブル2[[#This Row],[ファイル種類]],Sheet2!$B$1:$D$5,3,FALSE)</f>
        <v>webapp</v>
      </c>
      <c r="D18" t="s">
        <v>9</v>
      </c>
      <c r="E18" s="1" t="s">
        <v>47</v>
      </c>
      <c r="F18" t="str">
        <f>VLOOKUP(テーブル2[[#This Row],[ファイル種類番号]],Sheet2!$A$1:$B$5,2,FALSE)</f>
        <v>jspファイル</v>
      </c>
      <c r="G18">
        <v>1</v>
      </c>
    </row>
    <row r="19" spans="2:7" ht="35.1" customHeight="1" x14ac:dyDescent="0.4">
      <c r="B19" t="str">
        <f>VLOOKUP(テーブル2[[#This Row],[ファイル種類]],Sheet2!$B$1:$C$5,2,FALSE)</f>
        <v>View</v>
      </c>
      <c r="C19" t="str">
        <f>VLOOKUP(テーブル2[[#This Row],[ファイル種類]],Sheet2!$B$1:$D$5,3,FALSE)</f>
        <v>webapp</v>
      </c>
      <c r="D19" t="s">
        <v>10</v>
      </c>
      <c r="E19" s="1" t="s">
        <v>48</v>
      </c>
      <c r="F19" t="str">
        <f>VLOOKUP(テーブル2[[#This Row],[ファイル種類番号]],Sheet2!$A$1:$B$5,2,FALSE)</f>
        <v>jspファイル</v>
      </c>
      <c r="G19">
        <v>1</v>
      </c>
    </row>
    <row r="20" spans="2:7" ht="35.1" customHeight="1" x14ac:dyDescent="0.4">
      <c r="B20" t="str">
        <f>VLOOKUP(テーブル2[[#This Row],[ファイル種類]],Sheet2!$B$1:$C$5,2,FALSE)</f>
        <v>View</v>
      </c>
      <c r="C20" t="str">
        <f>VLOOKUP(テーブル2[[#This Row],[ファイル種類]],Sheet2!$B$1:$D$5,3,FALSE)</f>
        <v>webapp</v>
      </c>
      <c r="D20" t="s">
        <v>11</v>
      </c>
      <c r="E20" s="1" t="s">
        <v>49</v>
      </c>
      <c r="F20" t="str">
        <f>VLOOKUP(テーブル2[[#This Row],[ファイル種類番号]],Sheet2!$A$1:$B$5,2,FALSE)</f>
        <v>jspファイル</v>
      </c>
      <c r="G20">
        <v>1</v>
      </c>
    </row>
    <row r="21" spans="2:7" ht="35.1" customHeight="1" x14ac:dyDescent="0.4">
      <c r="B21" t="str">
        <f>VLOOKUP(テーブル2[[#This Row],[ファイル種類]],Sheet2!$B$1:$C$5,2,FALSE)</f>
        <v>View</v>
      </c>
      <c r="C21" t="str">
        <f>VLOOKUP(テーブル2[[#This Row],[ファイル種類]],Sheet2!$B$1:$D$5,3,FALSE)</f>
        <v>webapp</v>
      </c>
      <c r="D21" t="s">
        <v>12</v>
      </c>
      <c r="E21" s="1" t="s">
        <v>50</v>
      </c>
      <c r="F21" t="str">
        <f>VLOOKUP(テーブル2[[#This Row],[ファイル種類番号]],Sheet2!$A$1:$B$5,2,FALSE)</f>
        <v>jspファイル</v>
      </c>
      <c r="G21">
        <v>1</v>
      </c>
    </row>
    <row r="22" spans="2:7" ht="35.1" customHeight="1" x14ac:dyDescent="0.4">
      <c r="B22" t="str">
        <f>VLOOKUP(テーブル2[[#This Row],[ファイル種類]],Sheet2!$B$1:$C$5,2,FALSE)</f>
        <v>View</v>
      </c>
      <c r="C22" t="str">
        <f>VLOOKUP(テーブル2[[#This Row],[ファイル種類]],Sheet2!$B$1:$D$5,3,FALSE)</f>
        <v>webapp</v>
      </c>
      <c r="D22" t="s">
        <v>13</v>
      </c>
      <c r="E22" s="1" t="s">
        <v>51</v>
      </c>
      <c r="F22" t="str">
        <f>VLOOKUP(テーブル2[[#This Row],[ファイル種類番号]],Sheet2!$A$1:$B$5,2,FALSE)</f>
        <v>jspファイル</v>
      </c>
      <c r="G22">
        <v>1</v>
      </c>
    </row>
    <row r="23" spans="2:7" ht="35.1" customHeight="1" x14ac:dyDescent="0.4">
      <c r="B23" t="str">
        <f>VLOOKUP(テーブル2[[#This Row],[ファイル種類]],Sheet2!$B$1:$C$5,2,FALSE)</f>
        <v>View</v>
      </c>
      <c r="C23" t="str">
        <f>VLOOKUP(テーブル2[[#This Row],[ファイル種類]],Sheet2!$B$1:$D$5,3,FALSE)</f>
        <v>webapp</v>
      </c>
      <c r="D23" t="s">
        <v>14</v>
      </c>
      <c r="E23" s="1" t="s">
        <v>52</v>
      </c>
      <c r="F23" t="str">
        <f>VLOOKUP(テーブル2[[#This Row],[ファイル種類番号]],Sheet2!$A$1:$B$5,2,FALSE)</f>
        <v>jspファイル</v>
      </c>
      <c r="G23">
        <v>1</v>
      </c>
    </row>
    <row r="24" spans="2:7" ht="35.1" customHeight="1" x14ac:dyDescent="0.4">
      <c r="B24" t="str">
        <f>VLOOKUP(テーブル2[[#This Row],[ファイル種類]],Sheet2!$B$1:$C$5,2,FALSE)</f>
        <v>View</v>
      </c>
      <c r="C24" t="str">
        <f>VLOOKUP(テーブル2[[#This Row],[ファイル種類]],Sheet2!$B$1:$D$5,3,FALSE)</f>
        <v>webapp</v>
      </c>
      <c r="D24" t="s">
        <v>29</v>
      </c>
      <c r="E24" s="1" t="s">
        <v>53</v>
      </c>
      <c r="F24" t="str">
        <f>VLOOKUP(テーブル2[[#This Row],[ファイル種類番号]],Sheet2!$A$1:$B$5,2,FALSE)</f>
        <v>jspファイル</v>
      </c>
      <c r="G24">
        <v>1</v>
      </c>
    </row>
    <row r="25" spans="2:7" ht="35.1" customHeight="1" x14ac:dyDescent="0.4">
      <c r="B25" t="str">
        <f>VLOOKUP(テーブル2[[#This Row],[ファイル種類]],Sheet2!$B$1:$C$5,2,FALSE)</f>
        <v>View</v>
      </c>
      <c r="C25" t="str">
        <f>VLOOKUP(テーブル2[[#This Row],[ファイル種類]],Sheet2!$B$1:$D$5,3,FALSE)</f>
        <v>webapp</v>
      </c>
      <c r="D25" t="s">
        <v>30</v>
      </c>
      <c r="E25" s="1" t="s">
        <v>54</v>
      </c>
      <c r="F25" t="str">
        <f>VLOOKUP(テーブル2[[#This Row],[ファイル種類番号]],Sheet2!$A$1:$B$5,2,FALSE)</f>
        <v>jspファイル</v>
      </c>
      <c r="G25">
        <v>1</v>
      </c>
    </row>
    <row r="26" spans="2:7" ht="35.1" customHeight="1" x14ac:dyDescent="0.4">
      <c r="B26" t="str">
        <f>VLOOKUP(テーブル2[[#This Row],[ファイル種類]],Sheet2!$B$1:$C$5,2,FALSE)</f>
        <v>View</v>
      </c>
      <c r="C26" t="str">
        <f>VLOOKUP(テーブル2[[#This Row],[ファイル種類]],Sheet2!$B$1:$D$5,3,FALSE)</f>
        <v>webapp</v>
      </c>
      <c r="D26" t="s">
        <v>31</v>
      </c>
      <c r="E26" s="1" t="s">
        <v>55</v>
      </c>
      <c r="F26" t="str">
        <f>VLOOKUP(テーブル2[[#This Row],[ファイル種類番号]],Sheet2!$A$1:$B$5,2,FALSE)</f>
        <v>jspファイル</v>
      </c>
      <c r="G26">
        <v>1</v>
      </c>
    </row>
    <row r="27" spans="2:7" ht="35.1" customHeight="1" x14ac:dyDescent="0.4">
      <c r="B27" t="e">
        <f>VLOOKUP(テーブル2[[#This Row],[ファイル種類]],Sheet2!$B$1:$C$5,2,FALSE)</f>
        <v>#N/A</v>
      </c>
      <c r="C27" t="e">
        <f>VLOOKUP(テーブル2[[#This Row],[ファイル種類]],Sheet2!$B$1:$D$5,3,FALSE)</f>
        <v>#N/A</v>
      </c>
      <c r="E27" s="1"/>
      <c r="F27" t="e">
        <f>VLOOKUP(テーブル2[[#This Row],[ファイル種類番号]],Sheet2!$A$1:$B$5,2,FALSE)</f>
        <v>#N/A</v>
      </c>
    </row>
    <row r="28" spans="2:7" ht="35.1" customHeight="1" x14ac:dyDescent="0.4">
      <c r="B28" t="e">
        <f>VLOOKUP(テーブル2[[#This Row],[ファイル種類]],Sheet2!$B$1:$C$5,2,FALSE)</f>
        <v>#N/A</v>
      </c>
      <c r="C28" t="e">
        <f>VLOOKUP(テーブル2[[#This Row],[ファイル種類]],Sheet2!$B$1:$D$5,3,FALSE)</f>
        <v>#N/A</v>
      </c>
      <c r="E28" s="1"/>
      <c r="F28" t="e">
        <f>VLOOKUP(テーブル2[[#This Row],[ファイル種類番号]],Sheet2!$A$1:$B$5,2,FALSE)</f>
        <v>#N/A</v>
      </c>
    </row>
    <row r="29" spans="2:7" ht="35.1" customHeight="1" x14ac:dyDescent="0.4">
      <c r="B29" t="e">
        <f>VLOOKUP(テーブル2[[#This Row],[ファイル種類]],Sheet2!$B$1:$C$5,2,FALSE)</f>
        <v>#N/A</v>
      </c>
      <c r="C29" t="e">
        <f>VLOOKUP(テーブル2[[#This Row],[ファイル種類]],Sheet2!$B$1:$D$5,3,FALSE)</f>
        <v>#N/A</v>
      </c>
      <c r="E29" s="1"/>
      <c r="F29" t="e">
        <f>VLOOKUP(テーブル2[[#This Row],[ファイル種類番号]],Sheet2!$A$1:$B$5,2,FALSE)</f>
        <v>#N/A</v>
      </c>
    </row>
    <row r="30" spans="2:7" ht="35.1" customHeight="1" x14ac:dyDescent="0.4">
      <c r="B30" t="e">
        <f>VLOOKUP(テーブル2[[#This Row],[ファイル種類]],Sheet2!$B$1:$C$5,2,FALSE)</f>
        <v>#N/A</v>
      </c>
      <c r="C30" t="e">
        <f>VLOOKUP(テーブル2[[#This Row],[ファイル種類]],Sheet2!$B$1:$D$5,3,FALSE)</f>
        <v>#N/A</v>
      </c>
      <c r="E30" s="1"/>
      <c r="F30" t="e">
        <f>VLOOKUP(テーブル2[[#This Row],[ファイル種類番号]],Sheet2!$A$1:$B$5,2,FALSE)</f>
        <v>#N/A</v>
      </c>
    </row>
    <row r="31" spans="2:7" ht="35.1" customHeight="1" x14ac:dyDescent="0.4">
      <c r="B31" t="e">
        <f>VLOOKUP(テーブル2[[#This Row],[ファイル種類]],Sheet2!$B$1:$C$5,2,FALSE)</f>
        <v>#N/A</v>
      </c>
      <c r="C31" t="e">
        <f>VLOOKUP(テーブル2[[#This Row],[ファイル種類]],Sheet2!$B$1:$D$5,3,FALSE)</f>
        <v>#N/A</v>
      </c>
      <c r="E31" s="1"/>
      <c r="F31" t="e">
        <f>VLOOKUP(テーブル2[[#This Row],[ファイル種類番号]],Sheet2!$A$1:$B$5,2,FALSE)</f>
        <v>#N/A</v>
      </c>
    </row>
    <row r="32" spans="2:7" ht="35.1" customHeight="1" x14ac:dyDescent="0.4">
      <c r="B32" t="e">
        <f>VLOOKUP(テーブル2[[#This Row],[ファイル種類]],Sheet2!$B$1:$C$5,2,FALSE)</f>
        <v>#N/A</v>
      </c>
      <c r="C32" t="e">
        <f>VLOOKUP(テーブル2[[#This Row],[ファイル種類]],Sheet2!$B$1:$D$5,3,FALSE)</f>
        <v>#N/A</v>
      </c>
      <c r="E32" s="1"/>
      <c r="F32" t="e">
        <f>VLOOKUP(テーブル2[[#This Row],[ファイル種類番号]],Sheet2!$A$1:$B$5,2,FALSE)</f>
        <v>#N/A</v>
      </c>
    </row>
    <row r="33" spans="2:6" ht="35.1" customHeight="1" x14ac:dyDescent="0.4">
      <c r="B33" t="e">
        <f>VLOOKUP(テーブル2[[#This Row],[ファイル種類]],Sheet2!$B$1:$C$5,2,FALSE)</f>
        <v>#N/A</v>
      </c>
      <c r="C33" t="e">
        <f>VLOOKUP(テーブル2[[#This Row],[ファイル種類]],Sheet2!$B$1:$D$5,3,FALSE)</f>
        <v>#N/A</v>
      </c>
      <c r="E33" s="1"/>
      <c r="F33" t="e">
        <f>VLOOKUP(テーブル2[[#This Row],[ファイル種類番号]],Sheet2!$A$1:$B$5,2,FALSE)</f>
        <v>#N/A</v>
      </c>
    </row>
    <row r="34" spans="2:6" ht="35.1" customHeight="1" x14ac:dyDescent="0.4">
      <c r="B34" t="e">
        <f>VLOOKUP(テーブル2[[#This Row],[ファイル種類]],Sheet2!$B$1:$C$5,2,FALSE)</f>
        <v>#N/A</v>
      </c>
      <c r="C34" t="e">
        <f>VLOOKUP(テーブル2[[#This Row],[ファイル種類]],Sheet2!$B$1:$D$5,3,FALSE)</f>
        <v>#N/A</v>
      </c>
      <c r="E34" s="1"/>
      <c r="F34" t="e">
        <f>VLOOKUP(テーブル2[[#This Row],[ファイル種類番号]],Sheet2!$A$1:$B$5,2,FALSE)</f>
        <v>#N/A</v>
      </c>
    </row>
    <row r="35" spans="2:6" ht="35.1" customHeight="1" x14ac:dyDescent="0.4">
      <c r="B35" t="e">
        <f>VLOOKUP(テーブル2[[#This Row],[ファイル種類]],Sheet2!$B$1:$C$5,2,FALSE)</f>
        <v>#N/A</v>
      </c>
      <c r="C35" t="e">
        <f>VLOOKUP(テーブル2[[#This Row],[ファイル種類]],Sheet2!$B$1:$D$5,3,FALSE)</f>
        <v>#N/A</v>
      </c>
      <c r="E35" s="1"/>
      <c r="F35" t="e">
        <f>VLOOKUP(テーブル2[[#This Row],[ファイル種類番号]],Sheet2!$A$1:$B$5,2,FALSE)</f>
        <v>#N/A</v>
      </c>
    </row>
    <row r="36" spans="2:6" ht="35.1" customHeight="1" x14ac:dyDescent="0.4">
      <c r="B36" t="e">
        <f>VLOOKUP(テーブル2[[#This Row],[ファイル種類]],Sheet2!$B$1:$C$5,2,FALSE)</f>
        <v>#N/A</v>
      </c>
      <c r="C36" t="e">
        <f>VLOOKUP(テーブル2[[#This Row],[ファイル種類]],Sheet2!$B$1:$D$5,3,FALSE)</f>
        <v>#N/A</v>
      </c>
      <c r="E36" s="1"/>
      <c r="F36" t="e">
        <f>VLOOKUP(テーブル2[[#This Row],[ファイル種類番号]],Sheet2!$A$1:$B$5,2,FALSE)</f>
        <v>#N/A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E309-2E0D-4E76-8558-FA7ABF5AB251}">
  <dimension ref="A1:D5"/>
  <sheetViews>
    <sheetView workbookViewId="0">
      <selection activeCell="B17" sqref="B17"/>
    </sheetView>
  </sheetViews>
  <sheetFormatPr defaultRowHeight="18.75" x14ac:dyDescent="0.4"/>
  <cols>
    <col min="2" max="2" width="19.75" bestFit="1" customWidth="1"/>
    <col min="4" max="4" width="12.25" bestFit="1" customWidth="1"/>
  </cols>
  <sheetData>
    <row r="1" spans="1:4" x14ac:dyDescent="0.4">
      <c r="A1">
        <v>1</v>
      </c>
      <c r="B1" t="s">
        <v>26</v>
      </c>
      <c r="C1" t="s">
        <v>36</v>
      </c>
      <c r="D1" t="s">
        <v>38</v>
      </c>
    </row>
    <row r="2" spans="1:4" x14ac:dyDescent="0.4">
      <c r="A2">
        <v>2</v>
      </c>
      <c r="B2" t="s">
        <v>27</v>
      </c>
      <c r="C2" t="s">
        <v>35</v>
      </c>
      <c r="D2" t="s">
        <v>40</v>
      </c>
    </row>
    <row r="3" spans="1:4" x14ac:dyDescent="0.4">
      <c r="A3">
        <v>3</v>
      </c>
      <c r="B3" t="s">
        <v>28</v>
      </c>
      <c r="C3" t="s">
        <v>37</v>
      </c>
      <c r="D3" t="s">
        <v>39</v>
      </c>
    </row>
    <row r="4" spans="1:4" x14ac:dyDescent="0.4">
      <c r="A4">
        <v>4</v>
      </c>
      <c r="B4" t="s">
        <v>25</v>
      </c>
      <c r="C4" t="s">
        <v>37</v>
      </c>
      <c r="D4" t="s">
        <v>41</v>
      </c>
    </row>
    <row r="5" spans="1:4" x14ac:dyDescent="0.4">
      <c r="A5">
        <v>5</v>
      </c>
      <c r="B5" t="s">
        <v>3</v>
      </c>
      <c r="C5" t="s">
        <v>37</v>
      </c>
      <c r="D5" t="s">
        <v>39</v>
      </c>
    </row>
  </sheetData>
  <sheetProtection sheet="1" objects="1" scenarios="1"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ファイル一覧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A4018</dc:creator>
  <cp:lastModifiedBy>A4018</cp:lastModifiedBy>
  <dcterms:created xsi:type="dcterms:W3CDTF">2026-06-05T00:36:30Z</dcterms:created>
  <dcterms:modified xsi:type="dcterms:W3CDTF">2026-06-05T01:57:12Z</dcterms:modified>
</cp:coreProperties>
</file>