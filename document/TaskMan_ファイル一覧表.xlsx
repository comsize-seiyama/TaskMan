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13_ncr:1_{331F8EB3-8F45-43C0-96CA-84103D30B984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G9" i="1"/>
  <c r="G10" i="1"/>
  <c r="G4" i="1"/>
  <c r="G14" i="1"/>
  <c r="G15" i="1"/>
  <c r="G16" i="1"/>
  <c r="G17" i="1"/>
  <c r="G18" i="1"/>
  <c r="G19" i="1"/>
  <c r="G20" i="1"/>
  <c r="G21" i="1"/>
  <c r="G22" i="1"/>
  <c r="G23" i="1"/>
  <c r="G5" i="1"/>
  <c r="G6" i="1"/>
  <c r="G7" i="1"/>
  <c r="G8" i="1"/>
  <c r="G11" i="1"/>
  <c r="G12" i="1"/>
  <c r="G24" i="1"/>
  <c r="G25" i="1"/>
  <c r="G26" i="1"/>
  <c r="G27" i="1"/>
  <c r="G28" i="1"/>
  <c r="G29" i="1"/>
  <c r="G30" i="1"/>
  <c r="G31" i="1"/>
  <c r="G32" i="1"/>
  <c r="G33" i="1"/>
  <c r="G34" i="1"/>
  <c r="B27" i="1" l="1"/>
  <c r="C29" i="1"/>
  <c r="C30" i="1"/>
  <c r="C31" i="1"/>
  <c r="C32" i="1"/>
  <c r="C33" i="1"/>
  <c r="C34" i="1"/>
  <c r="B29" i="1"/>
  <c r="B30" i="1"/>
  <c r="B31" i="1"/>
  <c r="B32" i="1"/>
  <c r="B33" i="1"/>
  <c r="B34" i="1"/>
  <c r="C9" i="1"/>
  <c r="C18" i="1"/>
  <c r="C6" i="1"/>
  <c r="C8" i="1"/>
  <c r="C25" i="1"/>
  <c r="C27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<sst xmlns="http://schemas.openxmlformats.org/spreadsheetml/2006/main" count="103" uniqueCount="83">
  <si>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</si>
  <si>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</si>
  <si>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</si>
  <si>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</si>
  <si>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</si>
  <si>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</si>
  <si>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</si>
  <si>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</si>
  <si>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</si>
  <si>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</si>
  <si>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</si>
  <si>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</si>
  <si>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</si>
  <si>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</si>
  <si>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</si>
  <si>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</si>
  <si>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</si>
  <si>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</si>
  <si>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</si>
  <si>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</si>
  <si>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</si>
  <si>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</si>
  <si>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</si>
  <si>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</si>
  <si>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</si>
  <si>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</si>
  <si>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</si>
  <si>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</si>
  <si>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</si>
  <si>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</si>
  <si>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</si>
  <si>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</si>
  <si>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</si>
  <si>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</si>
  <si>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</si>
  <si>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</si>
  <si>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</si>
  <si>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</si>
  <si>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</si>
  <si>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</si>
  <si>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</si>
  <si>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</si>
  <si>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</si>
  <si>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</si>
  <si>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</si>
  <si>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</si>
  <si>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</si>
  <si>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</si>
  <si>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</si>
  <si>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</si>
  <si>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</si>
  <si>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</si>
  <si>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</si>
  <si>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</si>
  <si>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</si>
  <si>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</si>
  <si>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</si>
  <si>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</si>
  <si>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</si>
  <si>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</si>
  <si>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</si>
  <si>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</si>
  <si>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</si>
  <si>
    <t>対応ユースケース</t>
    <rPh sb="0" eb="2">
      <t>タイオウ</t>
    </rPh>
    <phoneticPr fontId="1"/>
  </si>
  <si>
    <t>タスク一覧表示</t>
    <rPh sb="3" eb="5">
      <t>イチラン</t>
    </rPh>
    <rPh sb="5" eb="7">
      <t>ヒョウジ</t>
    </rPh>
    <phoneticPr fontId="1"/>
  </si>
  <si>
    <t>ログイン</t>
    <phoneticPr fontId="1"/>
  </si>
  <si>
    <t>タスク編集</t>
    <rPh sb="3" eb="5">
      <t>ヘンシュウ</t>
    </rPh>
    <phoneticPr fontId="1"/>
  </si>
  <si>
    <t>タスク削除</t>
    <rPh sb="3" eb="5">
      <t>サクジョ</t>
    </rPh>
    <phoneticPr fontId="1"/>
  </si>
  <si>
    <t>タスク登録</t>
    <rPh sb="3" eb="5">
      <t>トウロク</t>
    </rPh>
    <phoneticPr fontId="1"/>
  </si>
  <si>
    <t>ログイン/ログアウト</t>
    <phoneticPr fontId="1"/>
  </si>
  <si>
    <t>タスク登録/タスク編集</t>
    <rPh sb="3" eb="5">
      <t>トウロク</t>
    </rPh>
    <rPh sb="9" eb="11">
      <t>ヘンシュウ</t>
    </rPh>
    <phoneticPr fontId="1"/>
  </si>
  <si>
    <t>システム全般</t>
    <rPh sb="4" eb="6">
      <t>ゼンパン</t>
    </rPh>
    <phoneticPr fontId="1"/>
  </si>
  <si>
    <t>ログアウト</t>
    <phoneticPr fontId="1"/>
  </si>
  <si>
    <t>タスク登録に失敗したことを表示する画面</t>
    <rPh sb="3" eb="5">
      <t>トウロク</t>
    </rPh>
    <rPh sb="6" eb="8">
      <t>シッパイ</t>
    </rPh>
    <phoneticPr fontId="1"/>
  </si>
  <si>
    <t>TaskDAO.java</t>
    <phoneticPr fontId="1"/>
  </si>
  <si>
    <t>TaskBean.java</t>
    <phoneticPr fontId="1"/>
  </si>
  <si>
    <t>t_taskテーブルにアクセスするDAOクラス</t>
    <phoneticPr fontId="1"/>
  </si>
  <si>
    <t>タスク情報を保持するentityクラス</t>
    <rPh sb="3" eb="5">
      <t>ジョウホウ</t>
    </rPh>
    <rPh sb="6" eb="8">
      <t>ホジ</t>
    </rPh>
    <phoneticPr fontId="1"/>
  </si>
  <si>
    <t>CategoryDAO.java</t>
    <phoneticPr fontId="1"/>
  </si>
  <si>
    <t>StatusDAO.java</t>
    <phoneticPr fontId="1"/>
  </si>
  <si>
    <t>タスク登録/タスク編集</t>
    <phoneticPr fontId="1"/>
  </si>
  <si>
    <t>m_categoryテーブルにアクセスするDAOクラス</t>
    <phoneticPr fontId="1"/>
  </si>
  <si>
    <t>m_statusテーブルにアクセスするDAOクラス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</si>
</sst>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4"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H34" totalsRowShown="0">
  <autoFilter ref="B3:H34" xr:uid="{35429287-11A2-4B0B-829A-C13AF3056B74}"/>
  <sortState xmlns:xlrd2="http://schemas.microsoft.com/office/spreadsheetml/2017/richdata2" ref="B4:H34">
    <sortCondition ref="B3:B34"/>
  </sortState>
  <tableColumns count="7">
    <tableColumn id="1" xr3:uid="{69642642-975E-4315-A040-B5AFDBF52485}" name="レイヤ" dataDxfId="3">
      <calculatedColumnFormula>VLOOKUP(テーブル2[[#This Row],[ファイル種類]],Sheet2!$B$1:$C$5,2,FALSE)</calculatedColumnFormula>
    </tableColumn>
    <tableColumn id="2" xr3:uid="{01DED257-D073-4B65-A017-3191B199D407}" name="配置場所" dataDxfId="2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8" xr3:uid="{17803444-57CA-4498-913B-24461371C283}" name="対応ユースケース" dataDxfId="1"/>
    <tableColumn id="5" xr3:uid="{61E9B625-6B0A-43DC-B4E2-261AFA95DB79}" name="ファイル種類" dataDxfId="0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H34"/>
  <sheetViews>
    <sheetView tabSelected="1" workbookViewId="0">
      <pane xSplit="1" ySplit="3" topLeftCell="B10" activePane="bottomRight" state="frozen"/>
      <selection pane="topRight" activeCell="B1" sqref="B1"/>
      <selection pane="bottomLeft" activeCell="A4" sqref="A4"/>
      <selection pane="bottomRight" activeCell="C10" sqref="C10"/>
    </sheetView>
  </sheetViews>
  <sheetFormatPr defaultRowHeight="18.75" x14ac:dyDescent="0.4"/>
  <cols>
    <col min="2" max="6" width="25.625" customWidth="1"/>
    <col min="7" max="7" width="19.75" bestFit="1" customWidth="1"/>
    <col min="8" max="8" width="19.375" bestFit="1" customWidth="1"/>
  </cols>
  <sheetData>
    <row r="3" spans="2:8" x14ac:dyDescent="0.4">
      <c r="B3" t="s">
        <v>4</v>
      </c>
      <c r="C3" t="s">
        <v>0</v>
      </c>
      <c r="D3" t="s">
        <v>1</v>
      </c>
      <c r="E3" t="s">
        <v>2</v>
      </c>
      <c r="F3" t="s">
        <v>63</v>
      </c>
      <c r="G3" t="s">
        <v>32</v>
      </c>
      <c r="H3" t="s">
        <v>33</v>
      </c>
    </row>
    <row r="4" spans="2:8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55</v>
      </c>
      <c r="F4" s="1" t="s">
        <v>65</v>
      </c>
      <c r="G4" t="str">
        <f>VLOOKUP(テーブル2[[#This Row],[ファイル種類番号]],Sheet2!$A$1:$B$5,2,FALSE)</f>
        <v>Seavlet</v>
      </c>
      <c r="H4">
        <v>2</v>
      </c>
    </row>
    <row r="5" spans="2:8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56</v>
      </c>
      <c r="F5" s="1" t="s">
        <v>64</v>
      </c>
      <c r="G5" t="str">
        <f>VLOOKUP(テーブル2[[#This Row],[ファイル種類番号]],Sheet2!$A$1:$B$5,2,FALSE)</f>
        <v>Seavlet</v>
      </c>
      <c r="H5">
        <v>2</v>
      </c>
    </row>
    <row r="6" spans="2:8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57</v>
      </c>
      <c r="F6" s="1" t="s">
        <v>66</v>
      </c>
      <c r="G6" t="str">
        <f>VLOOKUP(テーブル2[[#This Row],[ファイル種類番号]],Sheet2!$A$1:$B$5,2,FALSE)</f>
        <v>Seavlet</v>
      </c>
      <c r="H6">
        <v>2</v>
      </c>
    </row>
    <row r="7" spans="2:8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58</v>
      </c>
      <c r="F7" s="1" t="s">
        <v>67</v>
      </c>
      <c r="G7" t="str">
        <f>VLOOKUP(テーブル2[[#This Row],[ファイル種類番号]],Sheet2!$A$1:$B$5,2,FALSE)</f>
        <v>Seavlet</v>
      </c>
      <c r="H7">
        <v>2</v>
      </c>
    </row>
    <row r="8" spans="2:8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59</v>
      </c>
      <c r="F8" s="1" t="s">
        <v>68</v>
      </c>
      <c r="G8" t="str">
        <f>VLOOKUP(テーブル2[[#This Row],[ファイル種類番号]],Sheet2!$A$1:$B$5,2,FALSE)</f>
        <v>Seavlet</v>
      </c>
      <c r="H8">
        <v>2</v>
      </c>
    </row>
    <row r="9" spans="2:8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s="1" t="s">
        <v>65</v>
      </c>
      <c r="G9" t="str">
        <f>VLOOKUP(テーブル2[[#This Row],[ファイル種類番号]],Sheet2!$A$1:$B$5,2,FALSE)</f>
        <v>DAO</v>
      </c>
      <c r="H9">
        <v>3</v>
      </c>
    </row>
    <row r="10" spans="2:8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61</v>
      </c>
      <c r="F10" s="1" t="s">
        <v>69</v>
      </c>
      <c r="G10" t="str">
        <f>VLOOKUP(テーブル2[[#This Row],[ファイル種類番号]],Sheet2!$A$1:$B$5,2,FALSE)</f>
        <v>Bean</v>
      </c>
      <c r="H10">
        <v>4</v>
      </c>
    </row>
    <row r="11" spans="2:8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60</v>
      </c>
      <c r="F11" s="1" t="s">
        <v>70</v>
      </c>
      <c r="G11" t="str">
        <f>VLOOKUP(テーブル2[[#This Row],[ファイル種類番号]],Sheet2!$A$1:$B$5,2,FALSE)</f>
        <v>Bean</v>
      </c>
      <c r="H11">
        <v>4</v>
      </c>
    </row>
    <row r="12" spans="2:8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62</v>
      </c>
      <c r="F12" s="1" t="s">
        <v>70</v>
      </c>
      <c r="G12" t="str">
        <f>VLOOKUP(テーブル2[[#This Row],[ファイル種類番号]],Sheet2!$A$1:$B$5,2,FALSE)</f>
        <v>Bean</v>
      </c>
      <c r="H12">
        <v>4</v>
      </c>
    </row>
    <row r="13" spans="2:8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s="1" t="s">
        <v>71</v>
      </c>
      <c r="G13" t="str">
        <f>VLOOKUP(テーブル2[[#This Row],[ファイル種類番号]],Sheet2!$A$1:$B$5,2,FALSE)</f>
        <v>ConnectionManager</v>
      </c>
      <c r="H13">
        <v>5</v>
      </c>
    </row>
    <row r="14" spans="2:8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s="1" t="s">
        <v>65</v>
      </c>
      <c r="G14" t="str">
        <f>VLOOKUP(テーブル2[[#This Row],[ファイル種類番号]],Sheet2!$A$1:$B$5,2,FALSE)</f>
        <v>jspファイル</v>
      </c>
      <c r="H14">
        <v>1</v>
      </c>
    </row>
    <row r="15" spans="2:8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s="1" t="s">
        <v>72</v>
      </c>
      <c r="G15" t="str">
        <f>VLOOKUP(テーブル2[[#This Row],[ファイル種類番号]],Sheet2!$A$1:$B$5,2,FALSE)</f>
        <v>jspファイル</v>
      </c>
      <c r="H15">
        <v>1</v>
      </c>
    </row>
    <row r="16" spans="2:8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s="1" t="s">
        <v>71</v>
      </c>
      <c r="G16" t="str">
        <f>VLOOKUP(テーブル2[[#This Row],[ファイル種類番号]],Sheet2!$A$1:$B$5,2,FALSE)</f>
        <v>jspファイル</v>
      </c>
      <c r="H16">
        <v>1</v>
      </c>
    </row>
    <row r="17" spans="2:8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s="1" t="s">
        <v>66</v>
      </c>
      <c r="G17" t="str">
        <f>VLOOKUP(テーブル2[[#This Row],[ファイル種類番号]],Sheet2!$A$1:$B$5,2,FALSE)</f>
        <v>jspファイル</v>
      </c>
      <c r="H17">
        <v>1</v>
      </c>
    </row>
    <row r="18" spans="2:8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s="1" t="s">
        <v>67</v>
      </c>
      <c r="G18" t="str">
        <f>VLOOKUP(テーブル2[[#This Row],[ファイル種類番号]],Sheet2!$A$1:$B$5,2,FALSE)</f>
        <v>jspファイル</v>
      </c>
      <c r="H18">
        <v>1</v>
      </c>
    </row>
    <row r="19" spans="2:8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s="1" t="s">
        <v>68</v>
      </c>
      <c r="G19" t="str">
        <f>VLOOKUP(テーブル2[[#This Row],[ファイル種類番号]],Sheet2!$A$1:$B$5,2,FALSE)</f>
        <v>jspファイル</v>
      </c>
      <c r="H19">
        <v>1</v>
      </c>
    </row>
    <row r="20" spans="2:8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s="1" t="s">
        <v>68</v>
      </c>
      <c r="G20" t="str">
        <f>VLOOKUP(テーブル2[[#This Row],[ファイル種類番号]],Sheet2!$A$1:$B$5,2,FALSE)</f>
        <v>jspファイル</v>
      </c>
      <c r="H20">
        <v>1</v>
      </c>
    </row>
    <row r="21" spans="2:8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s="1" t="s">
        <v>64</v>
      </c>
      <c r="G21" t="str">
        <f>VLOOKUP(テーブル2[[#This Row],[ファイル種類番号]],Sheet2!$A$1:$B$5,2,FALSE)</f>
        <v>jspファイル</v>
      </c>
      <c r="H21">
        <v>1</v>
      </c>
    </row>
    <row r="22" spans="2:8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s="1" t="s">
        <v>66</v>
      </c>
      <c r="G22" t="str">
        <f>VLOOKUP(テーブル2[[#This Row],[ファイル種類番号]],Sheet2!$A$1:$B$5,2,FALSE)</f>
        <v>jspファイル</v>
      </c>
      <c r="H22">
        <v>1</v>
      </c>
    </row>
    <row r="23" spans="2:8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s="1" t="s">
        <v>67</v>
      </c>
      <c r="G23" t="str">
        <f>VLOOKUP(テーブル2[[#This Row],[ファイル種類番号]],Sheet2!$A$1:$B$5,2,FALSE)</f>
        <v>jspファイル</v>
      </c>
      <c r="H23">
        <v>1</v>
      </c>
    </row>
    <row r="24" spans="2:8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73</v>
      </c>
      <c r="F24" s="1" t="s">
        <v>68</v>
      </c>
      <c r="G24" t="str">
        <f>VLOOKUP(テーブル2[[#This Row],[ファイル種類番号]],Sheet2!$A$1:$B$5,2,FALSE)</f>
        <v>jspファイル</v>
      </c>
      <c r="H24">
        <v>1</v>
      </c>
    </row>
    <row r="25" spans="2:8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53</v>
      </c>
      <c r="F25" s="1" t="s">
        <v>66</v>
      </c>
      <c r="G25" t="str">
        <f>VLOOKUP(テーブル2[[#This Row],[ファイル種類番号]],Sheet2!$A$1:$B$5,2,FALSE)</f>
        <v>jspファイル</v>
      </c>
      <c r="H25">
        <v>1</v>
      </c>
    </row>
    <row r="26" spans="2:8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54</v>
      </c>
      <c r="F26" s="1" t="s">
        <v>67</v>
      </c>
      <c r="G26" t="str">
        <f>VLOOKUP(テーブル2[[#This Row],[ファイル種類番号]],Sheet2!$A$1:$B$5,2,FALSE)</f>
        <v>jspファイル</v>
      </c>
      <c r="H26">
        <v>1</v>
      </c>
    </row>
    <row r="27" spans="2:8" ht="35.1" customHeight="1" x14ac:dyDescent="0.4">
      <c r="B27" t="str">
        <f>VLOOKUP(テーブル2[[#This Row],[ファイル種類]],Sheet2!$B$1:$C$5,2,FALSE)</f>
        <v>Model</v>
      </c>
      <c r="C27" t="str">
        <f>VLOOKUP(テーブル2[[#This Row],[ファイル種類]],Sheet2!$B$1:$D$5,3,FALSE)</f>
        <v>model.daoパッケージ</v>
      </c>
      <c r="D27" t="s">
        <v>74</v>
      </c>
      <c r="E27" s="1" t="s">
        <v>76</v>
      </c>
      <c r="F27" s="1" t="s">
        <v>64</v>
      </c>
      <c r="G27" t="str">
        <f>VLOOKUP(テーブル2[[#This Row],[ファイル種類番号]],Sheet2!$A$1:$B$5,2,FALSE)</f>
        <v>DAO</v>
      </c>
      <c r="H27">
        <v>3</v>
      </c>
    </row>
    <row r="28" spans="2:8" ht="35.1" customHeight="1" x14ac:dyDescent="0.4">
      <c r="B28" t="str">
        <f>VLOOKUP(テーブル2[[#This Row],[ファイル種類]],Sheet2!$B$1:$C$5,2,FALSE)</f>
        <v>Model</v>
      </c>
      <c r="C28" t="str">
        <f>VLOOKUP(テーブル2[[#This Row],[ファイル種類]],Sheet2!$B$1:$D$5,3,FALSE)</f>
        <v>model.entityパッケージ</v>
      </c>
      <c r="D28" t="s">
        <v>75</v>
      </c>
      <c r="E28" s="1" t="s">
        <v>77</v>
      </c>
      <c r="F28" s="1" t="s">
        <v>64</v>
      </c>
      <c r="G28" t="str">
        <f>VLOOKUP(テーブル2[[#This Row],[ファイル種類番号]],Sheet2!$A$1:$B$5,2,FALSE)</f>
        <v>Bean</v>
      </c>
      <c r="H28">
        <v>4</v>
      </c>
    </row>
    <row r="29" spans="2:8" ht="35.1" customHeight="1" x14ac:dyDescent="0.4">
      <c r="B29" t="str">
        <f>VLOOKUP(テーブル2[[#This Row],[ファイル種類]],Sheet2!$B$1:$C$5,2,FALSE)</f>
        <v>Model</v>
      </c>
      <c r="C29" t="str">
        <f>VLOOKUP(テーブル2[[#This Row],[ファイル種類]],Sheet2!$B$1:$D$5,3,FALSE)</f>
        <v>model.daoパッケージ</v>
      </c>
      <c r="D29" t="s">
        <v>78</v>
      </c>
      <c r="E29" s="1" t="s">
        <v>81</v>
      </c>
      <c r="F29" s="1" t="s">
        <v>70</v>
      </c>
      <c r="G29" t="str">
        <f>VLOOKUP(テーブル2[[#This Row],[ファイル種類番号]],Sheet2!$A$1:$B$5,2,FALSE)</f>
        <v>DAO</v>
      </c>
      <c r="H29">
        <v>3</v>
      </c>
    </row>
    <row r="30" spans="2:8" ht="35.1" customHeight="1" x14ac:dyDescent="0.4">
      <c r="B30" t="str">
        <f>VLOOKUP(テーブル2[[#This Row],[ファイル種類]],Sheet2!$B$1:$C$5,2,FALSE)</f>
        <v>Model</v>
      </c>
      <c r="C30" t="str">
        <f>VLOOKUP(テーブル2[[#This Row],[ファイル種類]],Sheet2!$B$1:$D$5,3,FALSE)</f>
        <v>model.daoパッケージ</v>
      </c>
      <c r="D30" t="s">
        <v>79</v>
      </c>
      <c r="E30" s="1" t="s">
        <v>82</v>
      </c>
      <c r="F30" s="1" t="s">
        <v>80</v>
      </c>
      <c r="G30" t="str">
        <f>VLOOKUP(テーブル2[[#This Row],[ファイル種類番号]],Sheet2!$A$1:$B$5,2,FALSE)</f>
        <v>DAO</v>
      </c>
      <c r="H30">
        <v>3</v>
      </c>
    </row>
    <row r="31" spans="2:8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s="1"/>
      <c r="G31" t="e">
        <f>VLOOKUP(テーブル2[[#This Row],[ファイル種類番号]],Sheet2!$A$1:$B$5,2,FALSE)</f>
        <v>#N/A</v>
      </c>
    </row>
    <row r="32" spans="2:8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s="1"/>
      <c r="G32" t="e">
        <f>VLOOKUP(テーブル2[[#This Row],[ファイル種類番号]],Sheet2!$A$1:$B$5,2,FALSE)</f>
        <v>#N/A</v>
      </c>
    </row>
    <row r="33" spans="2:7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s="1"/>
      <c r="G33" t="e">
        <f>VLOOKUP(テーブル2[[#This Row],[ファイル種類番号]],Sheet2!$A$1:$B$5,2,FALSE)</f>
        <v>#N/A</v>
      </c>
    </row>
    <row r="34" spans="2:7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s="1"/>
      <c r="G34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2026-06-05T07:44:33Z</dcterms:modified>
</cp:coreProperties>
</file>