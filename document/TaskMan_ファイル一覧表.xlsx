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13\Desktop\"/>
    </mc:Choice>
  </mc:AlternateContent>
  <xr:revisionPtr revIDLastSave="0" documentId="13_ncr:1_{A144ED4D-5AEB-430B-AECD-C82FD2229A49}" xr6:coauthVersionLast="47" xr6:coauthVersionMax="47" xr10:uidLastSave="{00000000-0000-0000-0000-000000000000}"/>
  <bookViews>
    <workbookView xWindow="-120" yWindow="-120" windowWidth="20730" windowHeight="11040" xr2:uid="{4A369B84-176A-4D0D-BFB9-664BDE7AD73A}"/>
  </bookViews>
  <sheets>
    <sheet name="ファイル一覧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0" i="1" l="1"/>
  <c r="G9" i="1"/>
  <c r="G10" i="1"/>
  <c r="G4" i="1"/>
  <c r="G14" i="1"/>
  <c r="G15" i="1"/>
  <c r="G6" i="1"/>
  <c r="G11" i="1"/>
  <c r="G18" i="1"/>
  <c r="G19" i="1"/>
  <c r="G20" i="1"/>
  <c r="G21" i="1"/>
  <c r="G12" i="1"/>
  <c r="G23" i="1"/>
  <c r="G5" i="1"/>
  <c r="G16" i="1"/>
  <c r="G7" i="1"/>
  <c r="G8" i="1"/>
  <c r="G25" i="1"/>
  <c r="G29" i="1"/>
  <c r="G24" i="1"/>
  <c r="G13" i="1"/>
  <c r="G26" i="1"/>
  <c r="G27" i="1"/>
  <c r="G28" i="1"/>
  <c r="G17" i="1"/>
  <c r="G22" i="1"/>
  <c r="G31" i="1"/>
  <c r="G32" i="1"/>
  <c r="G33" i="1"/>
  <c r="G34" i="1"/>
  <c r="B27" i="1" l="1"/>
  <c r="C17" i="1"/>
  <c r="C22" i="1"/>
  <c r="C31" i="1"/>
  <c r="C32" i="1"/>
  <c r="C33" i="1"/>
  <c r="C34" i="1"/>
  <c r="B17" i="1"/>
  <c r="B22" i="1"/>
  <c r="B31" i="1"/>
  <c r="B32" i="1"/>
  <c r="B33" i="1"/>
  <c r="B34" i="1"/>
  <c r="C9" i="1"/>
  <c r="C18" i="1"/>
  <c r="C16" i="1"/>
  <c r="C8" i="1"/>
  <c r="C13" i="1"/>
  <c r="C27" i="1"/>
  <c r="B30" i="1"/>
  <c r="B9" i="1"/>
  <c r="B4" i="1"/>
  <c r="B15" i="1"/>
  <c r="B18" i="1"/>
  <c r="B19" i="1"/>
  <c r="B21" i="1"/>
  <c r="B23" i="1"/>
  <c r="B5" i="1"/>
  <c r="B16" i="1"/>
  <c r="B7" i="1"/>
  <c r="B8" i="1"/>
  <c r="B25" i="1"/>
  <c r="B29" i="1"/>
  <c r="B24" i="1"/>
  <c r="B13" i="1"/>
  <c r="B26" i="1"/>
  <c r="B28" i="1"/>
  <c r="C10" i="1"/>
  <c r="C4" i="1"/>
  <c r="C14" i="1"/>
  <c r="C15" i="1"/>
  <c r="C6" i="1"/>
  <c r="C11" i="1"/>
  <c r="C19" i="1"/>
  <c r="C20" i="1"/>
  <c r="C21" i="1"/>
  <c r="C12" i="1"/>
  <c r="C23" i="1"/>
  <c r="C5" i="1"/>
  <c r="C7" i="1"/>
  <c r="C25" i="1"/>
  <c r="C29" i="1"/>
  <c r="C24" i="1"/>
  <c r="C26" i="1"/>
  <c r="C28" i="1"/>
  <c r="B10" i="1"/>
  <c r="B14" i="1"/>
  <c r="B6" i="1"/>
  <c r="B11" i="1"/>
  <c r="B20" i="1"/>
  <c r="B12" i="1"/>
  <c r="C30" i="1"/>
</calcChain>
</file>

<file path=xl/sharedStrings.xml><?xml version="1.0" encoding="utf-8"?>
<sst xmlns="http://schemas.openxmlformats.org/spreadsheetml/2006/main" count="103" uniqueCount="83">
  <si>
    <t>配置場所</t>
    <rPh sb="0" eb="4">
      <t>ハイチバショ</t>
    </rPh>
    <phoneticPr fontId="1"/>
  </si>
  <si>
    <t>ファイル名</t>
    <rPh sb="4" eb="5">
      <t>メイ</t>
    </rPh>
    <phoneticPr fontId="1"/>
  </si>
  <si>
    <t>内容</t>
    <rPh sb="0" eb="2">
      <t>ナイヨウ</t>
    </rPh>
    <phoneticPr fontId="1"/>
  </si>
  <si>
    <t>ConnectionManager</t>
  </si>
  <si>
    <t>レイヤ</t>
    <phoneticPr fontId="1"/>
  </si>
  <si>
    <t>login.jsp</t>
  </si>
  <si>
    <t>logout.jsp</t>
  </si>
  <si>
    <t>menu.jsp</t>
  </si>
  <si>
    <t>task-edit-form.jsp</t>
  </si>
  <si>
    <t>task-delete-form.jsp</t>
  </si>
  <si>
    <t>task-add-form.jsp</t>
    <phoneticPr fontId="1"/>
  </si>
  <si>
    <t>task-add-success.jsp</t>
    <phoneticPr fontId="1"/>
  </si>
  <si>
    <t>task-list.jsp</t>
    <phoneticPr fontId="1"/>
  </si>
  <si>
    <t>task-edit-success.jsp</t>
    <phoneticPr fontId="1"/>
  </si>
  <si>
    <t>task-delete-success.jsp</t>
    <phoneticPr fontId="1"/>
  </si>
  <si>
    <t>LoginServlet.java</t>
    <phoneticPr fontId="1"/>
  </si>
  <si>
    <t>UserBean.java</t>
    <phoneticPr fontId="1"/>
  </si>
  <si>
    <t>ConnectionManager.java</t>
    <phoneticPr fontId="1"/>
  </si>
  <si>
    <t>UserDAO.java</t>
    <phoneticPr fontId="1"/>
  </si>
  <si>
    <t>CategoryBean.java</t>
    <phoneticPr fontId="1"/>
  </si>
  <si>
    <t>StatusBean.java</t>
    <phoneticPr fontId="1"/>
  </si>
  <si>
    <t>Bean</t>
  </si>
  <si>
    <t>jspファイル</t>
  </si>
  <si>
    <t>DAO</t>
    <phoneticPr fontId="1"/>
  </si>
  <si>
    <t>task-add-failure.jsp</t>
    <phoneticPr fontId="1"/>
  </si>
  <si>
    <t>task-edit-failure.jsp</t>
    <phoneticPr fontId="1"/>
  </si>
  <si>
    <t>task-delete-failure.jsp</t>
    <phoneticPr fontId="1"/>
  </si>
  <si>
    <t>ファイル種類</t>
    <rPh sb="4" eb="6">
      <t>シュルイ</t>
    </rPh>
    <phoneticPr fontId="1"/>
  </si>
  <si>
    <t>ファイル種類番号</t>
    <rPh sb="4" eb="6">
      <t>シュルイ</t>
    </rPh>
    <rPh sb="6" eb="8">
      <t>バンゴウ</t>
    </rPh>
    <phoneticPr fontId="1"/>
  </si>
  <si>
    <t>コネクションマネージャー</t>
    <phoneticPr fontId="1"/>
  </si>
  <si>
    <t>Controller</t>
    <phoneticPr fontId="1"/>
  </si>
  <si>
    <t>View</t>
    <phoneticPr fontId="1"/>
  </si>
  <si>
    <t>Model</t>
    <phoneticPr fontId="1"/>
  </si>
  <si>
    <t>webapp</t>
    <phoneticPr fontId="1"/>
  </si>
  <si>
    <t>model.daoパッケージ</t>
    <phoneticPr fontId="1"/>
  </si>
  <si>
    <t>servletパッケージ</t>
    <phoneticPr fontId="1"/>
  </si>
  <si>
    <t>model.entityパッケージ</t>
    <phoneticPr fontId="1"/>
  </si>
  <si>
    <t>m_userテーブルにアクセスするDAOクラス</t>
    <phoneticPr fontId="1"/>
  </si>
  <si>
    <t>ログイン情報を入力するフォーム画面</t>
    <rPh sb="4" eb="6">
      <t>ジョウホウ</t>
    </rPh>
    <rPh sb="7" eb="9">
      <t>ニュウリョク</t>
    </rPh>
    <rPh sb="15" eb="17">
      <t>ガメン</t>
    </rPh>
    <phoneticPr fontId="1"/>
  </si>
  <si>
    <t>ログアウトしたことを表示する画面</t>
    <rPh sb="10" eb="12">
      <t>ヒョウジ</t>
    </rPh>
    <rPh sb="14" eb="16">
      <t>ガメン</t>
    </rPh>
    <phoneticPr fontId="1"/>
  </si>
  <si>
    <t>メニューを表示するメニュー画面</t>
    <rPh sb="5" eb="7">
      <t>ヒョウジ</t>
    </rPh>
    <rPh sb="13" eb="15">
      <t>ガメン</t>
    </rPh>
    <phoneticPr fontId="1"/>
  </si>
  <si>
    <t>タスクの編集をするフォーム画面</t>
    <rPh sb="4" eb="6">
      <t>ヘンシュウ</t>
    </rPh>
    <rPh sb="13" eb="15">
      <t>ガメン</t>
    </rPh>
    <phoneticPr fontId="1"/>
  </si>
  <si>
    <t>タスクの削除をするフォーム画面</t>
    <rPh sb="4" eb="6">
      <t>サクジョ</t>
    </rPh>
    <rPh sb="13" eb="15">
      <t>ガメン</t>
    </rPh>
    <phoneticPr fontId="1"/>
  </si>
  <si>
    <t>タスクの登録をするフォーム画面</t>
    <rPh sb="4" eb="6">
      <t>トウロク</t>
    </rPh>
    <rPh sb="13" eb="15">
      <t>ガメン</t>
    </rPh>
    <phoneticPr fontId="1"/>
  </si>
  <si>
    <t>タスク登録に成功したことを表示する画面</t>
    <rPh sb="3" eb="5">
      <t>トウロク</t>
    </rPh>
    <rPh sb="6" eb="8">
      <t>セイコウ</t>
    </rPh>
    <rPh sb="13" eb="15">
      <t>ヒョウジ</t>
    </rPh>
    <rPh sb="17" eb="19">
      <t>ガメン</t>
    </rPh>
    <phoneticPr fontId="1"/>
  </si>
  <si>
    <t>タスク一覧を表示する画面</t>
    <rPh sb="3" eb="5">
      <t>イチラン</t>
    </rPh>
    <rPh sb="6" eb="8">
      <t>ヒョウジ</t>
    </rPh>
    <rPh sb="10" eb="12">
      <t>ガメン</t>
    </rPh>
    <phoneticPr fontId="1"/>
  </si>
  <si>
    <t>タスク編集に成功したことを表示する画面</t>
    <rPh sb="3" eb="5">
      <t>ヘンシュウ</t>
    </rPh>
    <phoneticPr fontId="1"/>
  </si>
  <si>
    <t>タスク削除に成功したことを表示する画面</t>
    <rPh sb="3" eb="5">
      <t>サクジョ</t>
    </rPh>
    <phoneticPr fontId="1"/>
  </si>
  <si>
    <t>タスク編集に失敗したことを表示する画面</t>
    <rPh sb="3" eb="5">
      <t>ヘンシュウ</t>
    </rPh>
    <rPh sb="6" eb="8">
      <t>シッパイ</t>
    </rPh>
    <phoneticPr fontId="1"/>
  </si>
  <si>
    <t>タスク削除に失敗したことを表示する画面</t>
    <rPh sb="3" eb="5">
      <t>サクジョ</t>
    </rPh>
    <rPh sb="6" eb="8">
      <t>シッパイ</t>
    </rPh>
    <phoneticPr fontId="1"/>
  </si>
  <si>
    <t>ログイン処理を行うコントロールクラス</t>
    <rPh sb="4" eb="6">
      <t>ショリ</t>
    </rPh>
    <rPh sb="7" eb="8">
      <t>オコナ</t>
    </rPh>
    <phoneticPr fontId="1"/>
  </si>
  <si>
    <t>タスク一覧の表示を行うコントロールクラス</t>
    <rPh sb="3" eb="5">
      <t>イチラン</t>
    </rPh>
    <rPh sb="6" eb="8">
      <t>ヒョウジ</t>
    </rPh>
    <rPh sb="9" eb="10">
      <t>オコナ</t>
    </rPh>
    <phoneticPr fontId="1"/>
  </si>
  <si>
    <t>タスクの情報変更処理を行うコントロールクラス</t>
    <rPh sb="4" eb="6">
      <t>ジョウホウ</t>
    </rPh>
    <rPh sb="6" eb="8">
      <t>ヘンコウ</t>
    </rPh>
    <rPh sb="8" eb="10">
      <t>ショリ</t>
    </rPh>
    <rPh sb="11" eb="12">
      <t>オコナ</t>
    </rPh>
    <phoneticPr fontId="1"/>
  </si>
  <si>
    <t>タスク情報削除を行うコントロールクラス</t>
    <rPh sb="3" eb="5">
      <t>ジョウホウ</t>
    </rPh>
    <rPh sb="5" eb="7">
      <t>サクジョ</t>
    </rPh>
    <rPh sb="8" eb="9">
      <t>オコナ</t>
    </rPh>
    <phoneticPr fontId="1"/>
  </si>
  <si>
    <t>タスク登録処理を行うコントロールクラス</t>
    <rPh sb="3" eb="5">
      <t>トウロク</t>
    </rPh>
    <rPh sb="5" eb="7">
      <t>ショリ</t>
    </rPh>
    <rPh sb="8" eb="9">
      <t>オコナ</t>
    </rPh>
    <phoneticPr fontId="1"/>
  </si>
  <si>
    <t>カテゴリ情報を保持するentityクラス</t>
    <rPh sb="4" eb="6">
      <t>ジョウホウ</t>
    </rPh>
    <rPh sb="7" eb="9">
      <t>ホジ</t>
    </rPh>
    <phoneticPr fontId="1"/>
  </si>
  <si>
    <t>利用者情報を保持するentityクラス</t>
    <rPh sb="0" eb="5">
      <t>リヨウシャジョウホウ</t>
    </rPh>
    <rPh sb="6" eb="8">
      <t>ホジ</t>
    </rPh>
    <phoneticPr fontId="1"/>
  </si>
  <si>
    <t>ステータス情報を保持するentityクラス</t>
    <rPh sb="5" eb="7">
      <t>ジョウホウ</t>
    </rPh>
    <rPh sb="8" eb="10">
      <t>ホジ</t>
    </rPh>
    <phoneticPr fontId="1"/>
  </si>
  <si>
    <t>対応ユースケース</t>
    <rPh sb="0" eb="2">
      <t>タイオウ</t>
    </rPh>
    <phoneticPr fontId="1"/>
  </si>
  <si>
    <t>タスク一覧表示</t>
    <rPh sb="3" eb="5">
      <t>イチラン</t>
    </rPh>
    <rPh sb="5" eb="7">
      <t>ヒョウジ</t>
    </rPh>
    <phoneticPr fontId="1"/>
  </si>
  <si>
    <t>ログイン</t>
    <phoneticPr fontId="1"/>
  </si>
  <si>
    <t>タスク編集</t>
    <rPh sb="3" eb="5">
      <t>ヘンシュウ</t>
    </rPh>
    <phoneticPr fontId="1"/>
  </si>
  <si>
    <t>タスク削除</t>
    <rPh sb="3" eb="5">
      <t>サクジョ</t>
    </rPh>
    <phoneticPr fontId="1"/>
  </si>
  <si>
    <t>タスク登録</t>
    <rPh sb="3" eb="5">
      <t>トウロク</t>
    </rPh>
    <phoneticPr fontId="1"/>
  </si>
  <si>
    <t>ログイン/ログアウト</t>
    <phoneticPr fontId="1"/>
  </si>
  <si>
    <t>タスク登録/タスク編集</t>
    <rPh sb="3" eb="5">
      <t>トウロク</t>
    </rPh>
    <rPh sb="9" eb="11">
      <t>ヘンシュウ</t>
    </rPh>
    <phoneticPr fontId="1"/>
  </si>
  <si>
    <t>システム全般</t>
    <rPh sb="4" eb="6">
      <t>ゼンパン</t>
    </rPh>
    <phoneticPr fontId="1"/>
  </si>
  <si>
    <t>ログアウト</t>
    <phoneticPr fontId="1"/>
  </si>
  <si>
    <t>タスク登録に失敗したことを表示する画面</t>
    <rPh sb="3" eb="5">
      <t>トウロク</t>
    </rPh>
    <rPh sb="6" eb="8">
      <t>シッパイ</t>
    </rPh>
    <phoneticPr fontId="1"/>
  </si>
  <si>
    <t>TaskDAO.java</t>
    <phoneticPr fontId="1"/>
  </si>
  <si>
    <t>TaskBean.java</t>
    <phoneticPr fontId="1"/>
  </si>
  <si>
    <t>t_taskテーブルにアクセスするDAOクラス</t>
    <phoneticPr fontId="1"/>
  </si>
  <si>
    <t>タスク情報を保持するentityクラス</t>
    <rPh sb="3" eb="5">
      <t>ジョウホウ</t>
    </rPh>
    <rPh sb="6" eb="8">
      <t>ホジ</t>
    </rPh>
    <phoneticPr fontId="1"/>
  </si>
  <si>
    <t>CategoryDAO.java</t>
    <phoneticPr fontId="1"/>
  </si>
  <si>
    <t>StatusDAO.java</t>
    <phoneticPr fontId="1"/>
  </si>
  <si>
    <t>タスク登録/タスク編集</t>
    <phoneticPr fontId="1"/>
  </si>
  <si>
    <t>m_categoryテーブルにアクセスするDAOクラス</t>
    <phoneticPr fontId="1"/>
  </si>
  <si>
    <t>m_statusテーブルにアクセスするDAOクラス</t>
    <phoneticPr fontId="1"/>
  </si>
  <si>
    <t>Servlet</t>
    <phoneticPr fontId="1"/>
  </si>
  <si>
    <t>TaskListServlet.java</t>
    <phoneticPr fontId="1"/>
  </si>
  <si>
    <t>TaskDelete-Servlet.java</t>
    <phoneticPr fontId="1"/>
  </si>
  <si>
    <t>TaskAddServlet.java</t>
    <phoneticPr fontId="1"/>
  </si>
  <si>
    <t>TaskEditServlet.java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</si>
</sst>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4">
    <dxf>
      <numFmt numFmtId="0" formatCode="General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429287-11A2-4B0B-829A-C13AF3056B74}" name="テーブル2" displayName="テーブル2" ref="B3:H34" totalsRowShown="0">
  <autoFilter ref="B3:H34" xr:uid="{35429287-11A2-4B0B-829A-C13AF3056B74}"/>
  <sortState xmlns:xlrd2="http://schemas.microsoft.com/office/spreadsheetml/2017/richdata2" ref="B6:H30">
    <sortCondition ref="H3:H34"/>
  </sortState>
  <tableColumns count="7">
    <tableColumn id="1" xr3:uid="{69642642-975E-4315-A040-B5AFDBF52485}" name="レイヤ" dataDxfId="3">
      <calculatedColumnFormula>VLOOKUP(テーブル2[[#This Row],[ファイル種類]],Sheet2!$B$1:$C$5,2,FALSE)</calculatedColumnFormula>
    </tableColumn>
    <tableColumn id="2" xr3:uid="{01DED257-D073-4B65-A017-3191B199D407}" name="配置場所" dataDxfId="2">
      <calculatedColumnFormula>VLOOKUP(テーブル2[[#This Row],[ファイル種類]],Sheet2!$B$1:$D$5,3,FALSE)</calculatedColumnFormula>
    </tableColumn>
    <tableColumn id="3" xr3:uid="{10D378EB-2420-4F6D-94EB-578C28C48887}" name="ファイル名"/>
    <tableColumn id="4" xr3:uid="{BD40918F-95FC-4779-9466-EEC593EC9C60}" name="内容"/>
    <tableColumn id="8" xr3:uid="{17803444-57CA-4498-913B-24461371C283}" name="対応ユースケース" dataDxfId="1"/>
    <tableColumn id="5" xr3:uid="{61E9B625-6B0A-43DC-B4E2-261AFA95DB79}" name="ファイル種類" dataDxfId="0">
      <calculatedColumnFormula>VLOOKUP(テーブル2[[#This Row],[ファイル種類番号]],Sheet2!$A$1:$B$5,2,FALSE)</calculatedColumnFormula>
    </tableColumn>
    <tableColumn id="6" xr3:uid="{339BCFBD-8ACC-4A6E-AE26-4A3C9DF9F927}" name="ファイル種類番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B600-9E48-4077-B262-F985B8C16AE8}">
  <dimension ref="B3:H34"/>
  <sheetViews>
    <sheetView tabSelected="1" workbookViewId="0">
      <pane xSplit="1" ySplit="3" topLeftCell="B5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RowHeight="18.75" x14ac:dyDescent="0.4"/>
  <cols>
    <col min="2" max="6" width="25.625" customWidth="1"/>
    <col min="7" max="7" width="19.75" bestFit="1" customWidth="1"/>
    <col min="8" max="8" width="19.375" bestFit="1" customWidth="1"/>
  </cols>
  <sheetData>
    <row r="3" spans="2:8" x14ac:dyDescent="0.4">
      <c r="B3" t="s">
        <v>4</v>
      </c>
      <c r="C3" t="s">
        <v>0</v>
      </c>
      <c r="D3" t="s">
        <v>1</v>
      </c>
      <c r="E3" t="s">
        <v>2</v>
      </c>
      <c r="F3" t="s">
        <v>58</v>
      </c>
      <c r="G3" t="s">
        <v>27</v>
      </c>
      <c r="H3" t="s">
        <v>28</v>
      </c>
    </row>
    <row r="4" spans="2:8" ht="35.1" customHeight="1" x14ac:dyDescent="0.4">
      <c r="B4" t="str">
        <f>VLOOKUP(テーブル2[[#This Row],[ファイル種類]],Sheet2!$B$1:$C$5,2,FALSE)</f>
        <v>Controller</v>
      </c>
      <c r="C4" t="str">
        <f>VLOOKUP(テーブル2[[#This Row],[ファイル種類]],Sheet2!$B$1:$D$5,3,FALSE)</f>
        <v>servletパッケージ</v>
      </c>
      <c r="D4" t="s">
        <v>15</v>
      </c>
      <c r="E4" s="1" t="s">
        <v>50</v>
      </c>
      <c r="F4" s="1" t="s">
        <v>60</v>
      </c>
      <c r="G4" t="str">
        <f>VLOOKUP(テーブル2[[#This Row],[ファイル種類番号]],Sheet2!$A$1:$B$5,2,FALSE)</f>
        <v>Servlet</v>
      </c>
      <c r="H4">
        <v>2</v>
      </c>
    </row>
    <row r="5" spans="2:8" ht="35.1" customHeight="1" x14ac:dyDescent="0.4">
      <c r="B5" t="str">
        <f>VLOOKUP(テーブル2[[#This Row],[ファイル種類]],Sheet2!$B$1:$C$5,2,FALSE)</f>
        <v>Controller</v>
      </c>
      <c r="C5" t="str">
        <f>VLOOKUP(テーブル2[[#This Row],[ファイル種類]],Sheet2!$B$1:$D$5,3,FALSE)</f>
        <v>servletパッケージ</v>
      </c>
      <c r="D5" t="s">
        <v>79</v>
      </c>
      <c r="E5" s="1" t="s">
        <v>51</v>
      </c>
      <c r="F5" s="1" t="s">
        <v>59</v>
      </c>
      <c r="G5" t="str">
        <f>VLOOKUP(テーブル2[[#This Row],[ファイル種類番号]],Sheet2!$A$1:$B$5,2,FALSE)</f>
        <v>Servlet</v>
      </c>
      <c r="H5">
        <v>2</v>
      </c>
    </row>
    <row r="6" spans="2:8" ht="35.1" customHeight="1" x14ac:dyDescent="0.4">
      <c r="B6" t="str">
        <f>VLOOKUP(テーブル2[[#This Row],[ファイル種類]],Sheet2!$B$1:$C$5,2,FALSE)</f>
        <v>View</v>
      </c>
      <c r="C6" t="str">
        <f>VLOOKUP(テーブル2[[#This Row],[ファイル種類]],Sheet2!$B$1:$D$5,3,FALSE)</f>
        <v>webapp</v>
      </c>
      <c r="D6" t="s">
        <v>7</v>
      </c>
      <c r="E6" s="1" t="s">
        <v>40</v>
      </c>
      <c r="F6" s="1" t="s">
        <v>66</v>
      </c>
      <c r="G6" t="str">
        <f>VLOOKUP(テーブル2[[#This Row],[ファイル種類番号]],Sheet2!$A$1:$B$5,2,FALSE)</f>
        <v>jspファイル</v>
      </c>
      <c r="H6">
        <v>1</v>
      </c>
    </row>
    <row r="7" spans="2:8" ht="35.1" customHeight="1" x14ac:dyDescent="0.4">
      <c r="B7" t="str">
        <f>VLOOKUP(テーブル2[[#This Row],[ファイル種類]],Sheet2!$B$1:$C$5,2,FALSE)</f>
        <v>Controller</v>
      </c>
      <c r="C7" t="str">
        <f>VLOOKUP(テーブル2[[#This Row],[ファイル種類]],Sheet2!$B$1:$D$5,3,FALSE)</f>
        <v>servletパッケージ</v>
      </c>
      <c r="D7" t="s">
        <v>80</v>
      </c>
      <c r="E7" s="1" t="s">
        <v>53</v>
      </c>
      <c r="F7" s="1" t="s">
        <v>62</v>
      </c>
      <c r="G7" t="str">
        <f>VLOOKUP(テーブル2[[#This Row],[ファイル種類番号]],Sheet2!$A$1:$B$5,2,FALSE)</f>
        <v>Servlet</v>
      </c>
      <c r="H7">
        <v>2</v>
      </c>
    </row>
    <row r="8" spans="2:8" ht="35.1" customHeight="1" x14ac:dyDescent="0.4">
      <c r="B8" t="str">
        <f>VLOOKUP(テーブル2[[#This Row],[ファイル種類]],Sheet2!$B$1:$C$5,2,FALSE)</f>
        <v>Controller</v>
      </c>
      <c r="C8" t="str">
        <f>VLOOKUP(テーブル2[[#This Row],[ファイル種類]],Sheet2!$B$1:$D$5,3,FALSE)</f>
        <v>servletパッケージ</v>
      </c>
      <c r="D8" t="s">
        <v>81</v>
      </c>
      <c r="E8" s="1" t="s">
        <v>54</v>
      </c>
      <c r="F8" s="1" t="s">
        <v>63</v>
      </c>
      <c r="G8" t="str">
        <f>VLOOKUP(テーブル2[[#This Row],[ファイル種類番号]],Sheet2!$A$1:$B$5,2,FALSE)</f>
        <v>Servlet</v>
      </c>
      <c r="H8">
        <v>2</v>
      </c>
    </row>
    <row r="9" spans="2:8" ht="35.1" customHeight="1" x14ac:dyDescent="0.4">
      <c r="B9" t="str">
        <f>VLOOKUP(テーブル2[[#This Row],[ファイル種類]],Sheet2!$B$1:$C$5,2,FALSE)</f>
        <v>Model</v>
      </c>
      <c r="C9" t="str">
        <f>VLOOKUP(テーブル2[[#This Row],[ファイル種類]],Sheet2!$B$1:$D$5,3,FALSE)</f>
        <v>model.daoパッケージ</v>
      </c>
      <c r="D9" t="s">
        <v>18</v>
      </c>
      <c r="E9" s="1" t="s">
        <v>37</v>
      </c>
      <c r="F9" s="1" t="s">
        <v>60</v>
      </c>
      <c r="G9" t="str">
        <f>VLOOKUP(テーブル2[[#This Row],[ファイル種類番号]],Sheet2!$A$1:$B$5,2,FALSE)</f>
        <v>DAO</v>
      </c>
      <c r="H9">
        <v>3</v>
      </c>
    </row>
    <row r="10" spans="2:8" ht="35.1" customHeight="1" x14ac:dyDescent="0.4">
      <c r="B10" t="str">
        <f>VLOOKUP(テーブル2[[#This Row],[ファイル種類]],Sheet2!$B$1:$C$5,2,FALSE)</f>
        <v>Model</v>
      </c>
      <c r="C10" t="str">
        <f>VLOOKUP(テーブル2[[#This Row],[ファイル種類]],Sheet2!$B$1:$D$5,3,FALSE)</f>
        <v>model.entityパッケージ</v>
      </c>
      <c r="D10" t="s">
        <v>16</v>
      </c>
      <c r="E10" s="1" t="s">
        <v>56</v>
      </c>
      <c r="F10" s="1" t="s">
        <v>64</v>
      </c>
      <c r="G10" t="str">
        <f>VLOOKUP(テーブル2[[#This Row],[ファイル種類番号]],Sheet2!$A$1:$B$5,2,FALSE)</f>
        <v>Bean</v>
      </c>
      <c r="H10">
        <v>4</v>
      </c>
    </row>
    <row r="11" spans="2:8" ht="35.1" customHeight="1" x14ac:dyDescent="0.4">
      <c r="B11" t="str">
        <f>VLOOKUP(テーブル2[[#This Row],[ファイル種類]],Sheet2!$B$1:$C$5,2,FALSE)</f>
        <v>View</v>
      </c>
      <c r="C11" t="str">
        <f>VLOOKUP(テーブル2[[#This Row],[ファイル種類]],Sheet2!$B$1:$D$5,3,FALSE)</f>
        <v>webapp</v>
      </c>
      <c r="D11" t="s">
        <v>8</v>
      </c>
      <c r="E11" s="1" t="s">
        <v>41</v>
      </c>
      <c r="F11" s="1" t="s">
        <v>61</v>
      </c>
      <c r="G11" t="str">
        <f>VLOOKUP(テーブル2[[#This Row],[ファイル種類番号]],Sheet2!$A$1:$B$5,2,FALSE)</f>
        <v>jspファイル</v>
      </c>
      <c r="H11">
        <v>1</v>
      </c>
    </row>
    <row r="12" spans="2:8" ht="35.1" customHeight="1" x14ac:dyDescent="0.4">
      <c r="B12" t="str">
        <f>VLOOKUP(テーブル2[[#This Row],[ファイル種類]],Sheet2!$B$1:$C$5,2,FALSE)</f>
        <v>View</v>
      </c>
      <c r="C12" t="str">
        <f>VLOOKUP(テーブル2[[#This Row],[ファイル種類]],Sheet2!$B$1:$D$5,3,FALSE)</f>
        <v>webapp</v>
      </c>
      <c r="D12" t="s">
        <v>13</v>
      </c>
      <c r="E12" s="1" t="s">
        <v>46</v>
      </c>
      <c r="F12" s="1" t="s">
        <v>61</v>
      </c>
      <c r="G12" t="str">
        <f>VLOOKUP(テーブル2[[#This Row],[ファイル種類番号]],Sheet2!$A$1:$B$5,2,FALSE)</f>
        <v>jspファイル</v>
      </c>
      <c r="H12">
        <v>1</v>
      </c>
    </row>
    <row r="13" spans="2:8" ht="35.1" customHeight="1" x14ac:dyDescent="0.4">
      <c r="B13" t="str">
        <f>VLOOKUP(テーブル2[[#This Row],[ファイル種類]],Sheet2!$B$1:$C$5,2,FALSE)</f>
        <v>View</v>
      </c>
      <c r="C13" t="str">
        <f>VLOOKUP(テーブル2[[#This Row],[ファイル種類]],Sheet2!$B$1:$D$5,3,FALSE)</f>
        <v>webapp</v>
      </c>
      <c r="D13" t="s">
        <v>25</v>
      </c>
      <c r="E13" s="1" t="s">
        <v>48</v>
      </c>
      <c r="F13" s="1" t="s">
        <v>61</v>
      </c>
      <c r="G13" t="str">
        <f>VLOOKUP(テーブル2[[#This Row],[ファイル種類番号]],Sheet2!$A$1:$B$5,2,FALSE)</f>
        <v>jspファイル</v>
      </c>
      <c r="H13">
        <v>1</v>
      </c>
    </row>
    <row r="14" spans="2:8" ht="35.1" customHeight="1" x14ac:dyDescent="0.4">
      <c r="B14" t="str">
        <f>VLOOKUP(テーブル2[[#This Row],[ファイル種類]],Sheet2!$B$1:$C$5,2,FALSE)</f>
        <v>View</v>
      </c>
      <c r="C14" t="str">
        <f>VLOOKUP(テーブル2[[#This Row],[ファイル種類]],Sheet2!$B$1:$D$5,3,FALSE)</f>
        <v>webapp</v>
      </c>
      <c r="D14" t="s">
        <v>5</v>
      </c>
      <c r="E14" s="1" t="s">
        <v>38</v>
      </c>
      <c r="F14" s="1" t="s">
        <v>60</v>
      </c>
      <c r="G14" t="str">
        <f>VLOOKUP(テーブル2[[#This Row],[ファイル種類番号]],Sheet2!$A$1:$B$5,2,FALSE)</f>
        <v>jspファイル</v>
      </c>
      <c r="H14">
        <v>1</v>
      </c>
    </row>
    <row r="15" spans="2:8" ht="35.1" customHeight="1" x14ac:dyDescent="0.4">
      <c r="B15" t="str">
        <f>VLOOKUP(テーブル2[[#This Row],[ファイル種類]],Sheet2!$B$1:$C$5,2,FALSE)</f>
        <v>View</v>
      </c>
      <c r="C15" t="str">
        <f>VLOOKUP(テーブル2[[#This Row],[ファイル種類]],Sheet2!$B$1:$D$5,3,FALSE)</f>
        <v>webapp</v>
      </c>
      <c r="D15" t="s">
        <v>6</v>
      </c>
      <c r="E15" s="1" t="s">
        <v>39</v>
      </c>
      <c r="F15" s="1" t="s">
        <v>67</v>
      </c>
      <c r="G15" t="str">
        <f>VLOOKUP(テーブル2[[#This Row],[ファイル種類番号]],Sheet2!$A$1:$B$5,2,FALSE)</f>
        <v>jspファイル</v>
      </c>
      <c r="H15">
        <v>1</v>
      </c>
    </row>
    <row r="16" spans="2:8" ht="35.1" customHeight="1" x14ac:dyDescent="0.4">
      <c r="B16" t="str">
        <f>VLOOKUP(テーブル2[[#This Row],[ファイル種類]],Sheet2!$B$1:$C$5,2,FALSE)</f>
        <v>Controller</v>
      </c>
      <c r="C16" t="str">
        <f>VLOOKUP(テーブル2[[#This Row],[ファイル種類]],Sheet2!$B$1:$D$5,3,FALSE)</f>
        <v>servletパッケージ</v>
      </c>
      <c r="D16" t="s">
        <v>82</v>
      </c>
      <c r="E16" s="1" t="s">
        <v>52</v>
      </c>
      <c r="F16" s="1" t="s">
        <v>61</v>
      </c>
      <c r="G16" t="str">
        <f>VLOOKUP(テーブル2[[#This Row],[ファイル種類番号]],Sheet2!$A$1:$B$5,2,FALSE)</f>
        <v>Servlet</v>
      </c>
      <c r="H16">
        <v>2</v>
      </c>
    </row>
    <row r="17" spans="2:8" ht="35.1" customHeight="1" x14ac:dyDescent="0.4">
      <c r="B17" t="str">
        <f>VLOOKUP(テーブル2[[#This Row],[ファイル種類]],Sheet2!$B$1:$C$5,2,FALSE)</f>
        <v>Model</v>
      </c>
      <c r="C17" t="str">
        <f>VLOOKUP(テーブル2[[#This Row],[ファイル種類]],Sheet2!$B$1:$D$5,3,FALSE)</f>
        <v>model.daoパッケージ</v>
      </c>
      <c r="D17" t="s">
        <v>73</v>
      </c>
      <c r="E17" s="1" t="s">
        <v>76</v>
      </c>
      <c r="F17" s="1" t="s">
        <v>65</v>
      </c>
      <c r="G17" t="str">
        <f>VLOOKUP(テーブル2[[#This Row],[ファイル種類番号]],Sheet2!$A$1:$B$5,2,FALSE)</f>
        <v>DAO</v>
      </c>
      <c r="H17">
        <v>3</v>
      </c>
    </row>
    <row r="18" spans="2:8" ht="35.1" customHeight="1" x14ac:dyDescent="0.4">
      <c r="B18" t="str">
        <f>VLOOKUP(テーブル2[[#This Row],[ファイル種類]],Sheet2!$B$1:$C$5,2,FALSE)</f>
        <v>View</v>
      </c>
      <c r="C18" t="str">
        <f>VLOOKUP(テーブル2[[#This Row],[ファイル種類]],Sheet2!$B$1:$D$5,3,FALSE)</f>
        <v>webapp</v>
      </c>
      <c r="D18" t="s">
        <v>9</v>
      </c>
      <c r="E18" s="1" t="s">
        <v>42</v>
      </c>
      <c r="F18" s="1" t="s">
        <v>62</v>
      </c>
      <c r="G18" t="str">
        <f>VLOOKUP(テーブル2[[#This Row],[ファイル種類番号]],Sheet2!$A$1:$B$5,2,FALSE)</f>
        <v>jspファイル</v>
      </c>
      <c r="H18">
        <v>1</v>
      </c>
    </row>
    <row r="19" spans="2:8" ht="35.1" customHeight="1" x14ac:dyDescent="0.4">
      <c r="B19" t="str">
        <f>VLOOKUP(テーブル2[[#This Row],[ファイル種類]],Sheet2!$B$1:$C$5,2,FALSE)</f>
        <v>View</v>
      </c>
      <c r="C19" t="str">
        <f>VLOOKUP(テーブル2[[#This Row],[ファイル種類]],Sheet2!$B$1:$D$5,3,FALSE)</f>
        <v>webapp</v>
      </c>
      <c r="D19" t="s">
        <v>10</v>
      </c>
      <c r="E19" s="1" t="s">
        <v>43</v>
      </c>
      <c r="F19" s="1" t="s">
        <v>63</v>
      </c>
      <c r="G19" t="str">
        <f>VLOOKUP(テーブル2[[#This Row],[ファイル種類番号]],Sheet2!$A$1:$B$5,2,FALSE)</f>
        <v>jspファイル</v>
      </c>
      <c r="H19">
        <v>1</v>
      </c>
    </row>
    <row r="20" spans="2:8" ht="35.1" customHeight="1" x14ac:dyDescent="0.4">
      <c r="B20" t="str">
        <f>VLOOKUP(テーブル2[[#This Row],[ファイル種類]],Sheet2!$B$1:$C$5,2,FALSE)</f>
        <v>View</v>
      </c>
      <c r="C20" t="str">
        <f>VLOOKUP(テーブル2[[#This Row],[ファイル種類]],Sheet2!$B$1:$D$5,3,FALSE)</f>
        <v>webapp</v>
      </c>
      <c r="D20" t="s">
        <v>11</v>
      </c>
      <c r="E20" s="1" t="s">
        <v>44</v>
      </c>
      <c r="F20" s="1" t="s">
        <v>63</v>
      </c>
      <c r="G20" t="str">
        <f>VLOOKUP(テーブル2[[#This Row],[ファイル種類番号]],Sheet2!$A$1:$B$5,2,FALSE)</f>
        <v>jspファイル</v>
      </c>
      <c r="H20">
        <v>1</v>
      </c>
    </row>
    <row r="21" spans="2:8" ht="35.1" customHeight="1" x14ac:dyDescent="0.4">
      <c r="B21" t="str">
        <f>VLOOKUP(テーブル2[[#This Row],[ファイル種類]],Sheet2!$B$1:$C$5,2,FALSE)</f>
        <v>View</v>
      </c>
      <c r="C21" t="str">
        <f>VLOOKUP(テーブル2[[#This Row],[ファイル種類]],Sheet2!$B$1:$D$5,3,FALSE)</f>
        <v>webapp</v>
      </c>
      <c r="D21" t="s">
        <v>12</v>
      </c>
      <c r="E21" s="1" t="s">
        <v>45</v>
      </c>
      <c r="F21" s="1" t="s">
        <v>59</v>
      </c>
      <c r="G21" t="str">
        <f>VLOOKUP(テーブル2[[#This Row],[ファイル種類番号]],Sheet2!$A$1:$B$5,2,FALSE)</f>
        <v>jspファイル</v>
      </c>
      <c r="H21">
        <v>1</v>
      </c>
    </row>
    <row r="22" spans="2:8" ht="35.1" customHeight="1" x14ac:dyDescent="0.4">
      <c r="B22" t="str">
        <f>VLOOKUP(テーブル2[[#This Row],[ファイル種類]],Sheet2!$B$1:$C$5,2,FALSE)</f>
        <v>Model</v>
      </c>
      <c r="C22" t="str">
        <f>VLOOKUP(テーブル2[[#This Row],[ファイル種類]],Sheet2!$B$1:$D$5,3,FALSE)</f>
        <v>model.daoパッケージ</v>
      </c>
      <c r="D22" t="s">
        <v>74</v>
      </c>
      <c r="E22" s="1" t="s">
        <v>77</v>
      </c>
      <c r="F22" s="1" t="s">
        <v>75</v>
      </c>
      <c r="G22" t="str">
        <f>VLOOKUP(テーブル2[[#This Row],[ファイル種類番号]],Sheet2!$A$1:$B$5,2,FALSE)</f>
        <v>DAO</v>
      </c>
      <c r="H22">
        <v>3</v>
      </c>
    </row>
    <row r="23" spans="2:8" ht="35.1" customHeight="1" x14ac:dyDescent="0.4">
      <c r="B23" t="str">
        <f>VLOOKUP(テーブル2[[#This Row],[ファイル種類]],Sheet2!$B$1:$C$5,2,FALSE)</f>
        <v>View</v>
      </c>
      <c r="C23" t="str">
        <f>VLOOKUP(テーブル2[[#This Row],[ファイル種類]],Sheet2!$B$1:$D$5,3,FALSE)</f>
        <v>webapp</v>
      </c>
      <c r="D23" t="s">
        <v>14</v>
      </c>
      <c r="E23" s="1" t="s">
        <v>47</v>
      </c>
      <c r="F23" s="1" t="s">
        <v>62</v>
      </c>
      <c r="G23" t="str">
        <f>VLOOKUP(テーブル2[[#This Row],[ファイル種類番号]],Sheet2!$A$1:$B$5,2,FALSE)</f>
        <v>jspファイル</v>
      </c>
      <c r="H23">
        <v>1</v>
      </c>
    </row>
    <row r="24" spans="2:8" ht="35.1" customHeight="1" x14ac:dyDescent="0.4">
      <c r="B24" t="str">
        <f>VLOOKUP(テーブル2[[#This Row],[ファイル種類]],Sheet2!$B$1:$C$5,2,FALSE)</f>
        <v>View</v>
      </c>
      <c r="C24" t="str">
        <f>VLOOKUP(テーブル2[[#This Row],[ファイル種類]],Sheet2!$B$1:$D$5,3,FALSE)</f>
        <v>webapp</v>
      </c>
      <c r="D24" t="s">
        <v>24</v>
      </c>
      <c r="E24" s="1" t="s">
        <v>68</v>
      </c>
      <c r="F24" s="1" t="s">
        <v>63</v>
      </c>
      <c r="G24" t="str">
        <f>VLOOKUP(テーブル2[[#This Row],[ファイル種類番号]],Sheet2!$A$1:$B$5,2,FALSE)</f>
        <v>jspファイル</v>
      </c>
      <c r="H24">
        <v>1</v>
      </c>
    </row>
    <row r="25" spans="2:8" ht="35.1" customHeight="1" x14ac:dyDescent="0.4">
      <c r="B25" t="str">
        <f>VLOOKUP(テーブル2[[#This Row],[ファイル種類]],Sheet2!$B$1:$C$5,2,FALSE)</f>
        <v>Model</v>
      </c>
      <c r="C25" t="str">
        <f>VLOOKUP(テーブル2[[#This Row],[ファイル種類]],Sheet2!$B$1:$D$5,3,FALSE)</f>
        <v>model.entityパッケージ</v>
      </c>
      <c r="D25" t="s">
        <v>19</v>
      </c>
      <c r="E25" s="1" t="s">
        <v>55</v>
      </c>
      <c r="F25" s="1" t="s">
        <v>65</v>
      </c>
      <c r="G25" t="str">
        <f>VLOOKUP(テーブル2[[#This Row],[ファイル種類番号]],Sheet2!$A$1:$B$5,2,FALSE)</f>
        <v>Bean</v>
      </c>
      <c r="H25">
        <v>4</v>
      </c>
    </row>
    <row r="26" spans="2:8" ht="35.1" customHeight="1" x14ac:dyDescent="0.4">
      <c r="B26" t="str">
        <f>VLOOKUP(テーブル2[[#This Row],[ファイル種類]],Sheet2!$B$1:$C$5,2,FALSE)</f>
        <v>View</v>
      </c>
      <c r="C26" t="str">
        <f>VLOOKUP(テーブル2[[#This Row],[ファイル種類]],Sheet2!$B$1:$D$5,3,FALSE)</f>
        <v>webapp</v>
      </c>
      <c r="D26" t="s">
        <v>26</v>
      </c>
      <c r="E26" s="1" t="s">
        <v>49</v>
      </c>
      <c r="F26" s="1" t="s">
        <v>62</v>
      </c>
      <c r="G26" t="str">
        <f>VLOOKUP(テーブル2[[#This Row],[ファイル種類番号]],Sheet2!$A$1:$B$5,2,FALSE)</f>
        <v>jspファイル</v>
      </c>
      <c r="H26">
        <v>1</v>
      </c>
    </row>
    <row r="27" spans="2:8" ht="35.1" customHeight="1" x14ac:dyDescent="0.4">
      <c r="B27" t="str">
        <f>VLOOKUP(テーブル2[[#This Row],[ファイル種類]],Sheet2!$B$1:$C$5,2,FALSE)</f>
        <v>Model</v>
      </c>
      <c r="C27" t="str">
        <f>VLOOKUP(テーブル2[[#This Row],[ファイル種類]],Sheet2!$B$1:$D$5,3,FALSE)</f>
        <v>model.daoパッケージ</v>
      </c>
      <c r="D27" t="s">
        <v>69</v>
      </c>
      <c r="E27" s="1" t="s">
        <v>71</v>
      </c>
      <c r="F27" s="1" t="s">
        <v>59</v>
      </c>
      <c r="G27" t="str">
        <f>VLOOKUP(テーブル2[[#This Row],[ファイル種類番号]],Sheet2!$A$1:$B$5,2,FALSE)</f>
        <v>DAO</v>
      </c>
      <c r="H27">
        <v>3</v>
      </c>
    </row>
    <row r="28" spans="2:8" ht="35.1" customHeight="1" x14ac:dyDescent="0.4">
      <c r="B28" t="str">
        <f>VLOOKUP(テーブル2[[#This Row],[ファイル種類]],Sheet2!$B$1:$C$5,2,FALSE)</f>
        <v>Model</v>
      </c>
      <c r="C28" t="str">
        <f>VLOOKUP(テーブル2[[#This Row],[ファイル種類]],Sheet2!$B$1:$D$5,3,FALSE)</f>
        <v>model.entityパッケージ</v>
      </c>
      <c r="D28" t="s">
        <v>70</v>
      </c>
      <c r="E28" s="1" t="s">
        <v>72</v>
      </c>
      <c r="F28" s="1" t="s">
        <v>59</v>
      </c>
      <c r="G28" t="str">
        <f>VLOOKUP(テーブル2[[#This Row],[ファイル種類番号]],Sheet2!$A$1:$B$5,2,FALSE)</f>
        <v>Bean</v>
      </c>
      <c r="H28">
        <v>4</v>
      </c>
    </row>
    <row r="29" spans="2:8" ht="35.1" customHeight="1" x14ac:dyDescent="0.4">
      <c r="B29" t="str">
        <f>VLOOKUP(テーブル2[[#This Row],[ファイル種類]],Sheet2!$B$1:$C$5,2,FALSE)</f>
        <v>Model</v>
      </c>
      <c r="C29" t="str">
        <f>VLOOKUP(テーブル2[[#This Row],[ファイル種類]],Sheet2!$B$1:$D$5,3,FALSE)</f>
        <v>model.entityパッケージ</v>
      </c>
      <c r="D29" t="s">
        <v>20</v>
      </c>
      <c r="E29" s="1" t="s">
        <v>57</v>
      </c>
      <c r="F29" s="1" t="s">
        <v>65</v>
      </c>
      <c r="G29" t="str">
        <f>VLOOKUP(テーブル2[[#This Row],[ファイル種類番号]],Sheet2!$A$1:$B$5,2,FALSE)</f>
        <v>Bean</v>
      </c>
      <c r="H29">
        <v>4</v>
      </c>
    </row>
    <row r="30" spans="2:8" ht="35.1" customHeight="1" x14ac:dyDescent="0.4">
      <c r="B30" t="str">
        <f>VLOOKUP(テーブル2[[#This Row],[ファイル種類]],Sheet2!$B$1:$C$5,2,FALSE)</f>
        <v>Model</v>
      </c>
      <c r="C30" t="str">
        <f>VLOOKUP(テーブル2[[#This Row],[ファイル種類]],Sheet2!$B$1:$D$5,3,FALSE)</f>
        <v>model.daoパッケージ</v>
      </c>
      <c r="D30" t="s">
        <v>17</v>
      </c>
      <c r="E30" s="1" t="s">
        <v>29</v>
      </c>
      <c r="F30" s="1" t="s">
        <v>66</v>
      </c>
      <c r="G30" t="str">
        <f>VLOOKUP(テーブル2[[#This Row],[ファイル種類番号]],Sheet2!$A$1:$B$5,2,FALSE)</f>
        <v>ConnectionManager</v>
      </c>
      <c r="H30">
        <v>5</v>
      </c>
    </row>
    <row r="31" spans="2:8" ht="35.1" customHeight="1" x14ac:dyDescent="0.4">
      <c r="B31" t="e">
        <f>VLOOKUP(テーブル2[[#This Row],[ファイル種類]],Sheet2!$B$1:$C$5,2,FALSE)</f>
        <v>#N/A</v>
      </c>
      <c r="C31" t="e">
        <f>VLOOKUP(テーブル2[[#This Row],[ファイル種類]],Sheet2!$B$1:$D$5,3,FALSE)</f>
        <v>#N/A</v>
      </c>
      <c r="E31" s="1"/>
      <c r="F31" s="1"/>
      <c r="G31" t="e">
        <f>VLOOKUP(テーブル2[[#This Row],[ファイル種類番号]],Sheet2!$A$1:$B$5,2,FALSE)</f>
        <v>#N/A</v>
      </c>
    </row>
    <row r="32" spans="2:8" ht="35.1" customHeight="1" x14ac:dyDescent="0.4">
      <c r="B32" t="e">
        <f>VLOOKUP(テーブル2[[#This Row],[ファイル種類]],Sheet2!$B$1:$C$5,2,FALSE)</f>
        <v>#N/A</v>
      </c>
      <c r="C32" t="e">
        <f>VLOOKUP(テーブル2[[#This Row],[ファイル種類]],Sheet2!$B$1:$D$5,3,FALSE)</f>
        <v>#N/A</v>
      </c>
      <c r="E32" s="1"/>
      <c r="F32" s="1"/>
      <c r="G32" t="e">
        <f>VLOOKUP(テーブル2[[#This Row],[ファイル種類番号]],Sheet2!$A$1:$B$5,2,FALSE)</f>
        <v>#N/A</v>
      </c>
    </row>
    <row r="33" spans="2:7" ht="35.1" customHeight="1" x14ac:dyDescent="0.4">
      <c r="B33" t="e">
        <f>VLOOKUP(テーブル2[[#This Row],[ファイル種類]],Sheet2!$B$1:$C$5,2,FALSE)</f>
        <v>#N/A</v>
      </c>
      <c r="C33" t="e">
        <f>VLOOKUP(テーブル2[[#This Row],[ファイル種類]],Sheet2!$B$1:$D$5,3,FALSE)</f>
        <v>#N/A</v>
      </c>
      <c r="E33" s="1"/>
      <c r="F33" s="1"/>
      <c r="G33" t="e">
        <f>VLOOKUP(テーブル2[[#This Row],[ファイル種類番号]],Sheet2!$A$1:$B$5,2,FALSE)</f>
        <v>#N/A</v>
      </c>
    </row>
    <row r="34" spans="2:7" ht="35.1" customHeight="1" x14ac:dyDescent="0.4">
      <c r="B34" t="e">
        <f>VLOOKUP(テーブル2[[#This Row],[ファイル種類]],Sheet2!$B$1:$C$5,2,FALSE)</f>
        <v>#N/A</v>
      </c>
      <c r="C34" t="e">
        <f>VLOOKUP(テーブル2[[#This Row],[ファイル種類]],Sheet2!$B$1:$D$5,3,FALSE)</f>
        <v>#N/A</v>
      </c>
      <c r="E34" s="1"/>
      <c r="F34" s="1"/>
      <c r="G34" t="e">
        <f>VLOOKUP(テーブル2[[#This Row],[ファイル種類番号]],Sheet2!$A$1:$B$5,2,FALSE)</f>
        <v>#N/A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E309-2E0D-4E76-8558-FA7ABF5AB251}">
  <dimension ref="A1:D5"/>
  <sheetViews>
    <sheetView workbookViewId="0"/>
  </sheetViews>
  <sheetFormatPr defaultRowHeight="18.75" x14ac:dyDescent="0.4"/>
  <cols>
    <col min="2" max="2" width="19.75" bestFit="1" customWidth="1"/>
    <col min="4" max="4" width="12.25" bestFit="1" customWidth="1"/>
  </cols>
  <sheetData>
    <row r="1" spans="1:4" x14ac:dyDescent="0.4">
      <c r="A1">
        <v>1</v>
      </c>
      <c r="B1" t="s">
        <v>22</v>
      </c>
      <c r="C1" t="s">
        <v>31</v>
      </c>
      <c r="D1" t="s">
        <v>33</v>
      </c>
    </row>
    <row r="2" spans="1:4" x14ac:dyDescent="0.4">
      <c r="A2">
        <v>2</v>
      </c>
      <c r="B2" t="s">
        <v>78</v>
      </c>
      <c r="C2" t="s">
        <v>30</v>
      </c>
      <c r="D2" t="s">
        <v>35</v>
      </c>
    </row>
    <row r="3" spans="1:4" x14ac:dyDescent="0.4">
      <c r="A3">
        <v>3</v>
      </c>
      <c r="B3" t="s">
        <v>23</v>
      </c>
      <c r="C3" t="s">
        <v>32</v>
      </c>
      <c r="D3" t="s">
        <v>34</v>
      </c>
    </row>
    <row r="4" spans="1:4" x14ac:dyDescent="0.4">
      <c r="A4">
        <v>4</v>
      </c>
      <c r="B4" t="s">
        <v>21</v>
      </c>
      <c r="C4" t="s">
        <v>32</v>
      </c>
      <c r="D4" t="s">
        <v>36</v>
      </c>
    </row>
    <row r="5" spans="1:4" x14ac:dyDescent="0.4">
      <c r="A5">
        <v>5</v>
      </c>
      <c r="B5" t="s">
        <v>3</v>
      </c>
      <c r="C5" t="s">
        <v>32</v>
      </c>
      <c r="D5" t="s">
        <v>34</v>
      </c>
    </row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ファイル一覧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2026-06-05T00:36:30Z</dcterms:created>
  <dcterms:modified xsi:type="dcterms:W3CDTF">2026-06-09T04:29:12Z</dcterms:modified>
</cp:coreProperties>
</file>