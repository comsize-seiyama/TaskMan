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8B7D975A-3A0C-4684-8F8B-B76FB42F0E7A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" l="1"/>
  <c r="B27" i="1" s="1"/>
  <c r="F13" i="1"/>
  <c r="F9" i="1"/>
  <c r="F10" i="1"/>
  <c r="F4" i="1"/>
  <c r="F14" i="1"/>
  <c r="F15" i="1"/>
  <c r="F16" i="1"/>
  <c r="F17" i="1"/>
  <c r="F18" i="1"/>
  <c r="F19" i="1"/>
  <c r="F20" i="1"/>
  <c r="F21" i="1"/>
  <c r="F22" i="1"/>
  <c r="F23" i="1"/>
  <c r="F5" i="1"/>
  <c r="F6" i="1"/>
  <c r="F7" i="1"/>
  <c r="F8" i="1"/>
  <c r="F11" i="1"/>
  <c r="F12" i="1"/>
  <c r="F24" i="1"/>
  <c r="F25" i="1"/>
  <c r="F26" i="1"/>
  <c r="F28" i="1"/>
  <c r="F29" i="1"/>
  <c r="F30" i="1"/>
  <c r="F31" i="1"/>
  <c r="F32" i="1"/>
  <c r="F33" i="1"/>
  <c r="F34" i="1"/>
  <c r="F35" i="1"/>
  <c r="F36" i="1"/>
  <c r="C27" i="1" l="1"/>
  <c r="C29" i="1"/>
  <c r="C30" i="1"/>
  <c r="C31" i="1"/>
  <c r="C32" i="1"/>
  <c r="C33" i="1"/>
  <c r="C34" i="1"/>
  <c r="C35" i="1"/>
  <c r="C36" i="1"/>
  <c r="B29" i="1"/>
  <c r="B30" i="1"/>
  <c r="B31" i="1"/>
  <c r="B32" i="1"/>
  <c r="B33" i="1"/>
  <c r="B34" i="1"/>
  <c r="B35" i="1"/>
  <c r="B36" i="1"/>
  <c r="C9" i="1"/>
  <c r="C18" i="1"/>
  <c r="C6" i="1"/>
  <c r="C8" i="1"/>
  <c r="C25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<sst xmlns="http://schemas.openxmlformats.org/spreadsheetml/2006/main" count="71" uniqueCount="65">
  <si>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</si>
  <si>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</si>
  <si>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</si>
  <si>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</si>
  <si>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</si>
  <si>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</si>
  <si>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</si>
  <si>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</si>
  <si>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</si>
  <si>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</si>
  <si>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</si>
  <si>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</si>
  <si>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</si>
  <si>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</si>
  <si>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</si>
  <si>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</si>
  <si>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</si>
  <si>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</si>
  <si>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</si>
  <si>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</si>
  <si>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</si>
  <si>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</si>
  <si>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</si>
  <si>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</si>
  <si>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</si>
  <si>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</si>
  <si>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</si>
  <si>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</si>
  <si>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</si>
  <si>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</si>
  <si>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</si>
  <si>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</si>
  <si>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</si>
  <si>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</si>
  <si>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</si>
  <si>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</si>
  <si>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</si>
  <si>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</si>
  <si>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</si>
  <si>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</si>
  <si>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</si>
  <si>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</si>
  <si>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</si>
  <si>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</si>
  <si>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</si>
  <si>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</si>
  <si>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</si>
  <si>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</si>
  <si>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</si>
  <si>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</si>
  <si>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</si>
  <si>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</si>
  <si>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</si>
  <si>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タスク追加に失敗したことを表示する画面</t>
    <rPh sb="3" eb="5">
      <t>ツイカ</t>
    </rPh>
    <rPh sb="6" eb="8">
      <t>シッパイ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</si>
  <si>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</si>
  <si>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</si>
  <si>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</si>
  <si>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</si>
  <si>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</si>
  <si>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</si>
  <si>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</si>
  <si>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</si>
  <si>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</si>
  <si>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</si>
  <si>
    <t>task-add-form-confirm.jsp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</si>
</sst>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G36" totalsRowShown="0">
  <autoFilter ref="B3:G36" xr:uid="{35429287-11A2-4B0B-829A-C13AF3056B74}"/>
  <sortState xmlns:xlrd2="http://schemas.microsoft.com/office/spreadsheetml/2017/richdata2" ref="B4:G36">
    <sortCondition ref="B3:B36"/>
  </sortState>
  <tableColumns count="6">
    <tableColumn id="1" xr3:uid="{69642642-975E-4315-A040-B5AFDBF52485}" name="レイヤ" dataDxfId="2">
      <calculatedColumnFormula>VLOOKUP(テーブル2[[#This Row],[ファイル種類]],Sheet2!$B$1:$C$5,2,FALSE)</calculatedColumnFormula>
    </tableColumn>
    <tableColumn id="2" xr3:uid="{01DED257-D073-4B65-A017-3191B199D407}" name="配置場所" dataDxfId="1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5" xr3:uid="{61E9B625-6B0A-43DC-B4E2-261AFA95DB79}" name="ファイル種類" dataDxfId="0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G3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9" sqref="D29"/>
    </sheetView>
  </sheetViews>
  <sheetFormatPr defaultRowHeight="18.75" x14ac:dyDescent="0.4"/>
  <cols>
    <col min="2" max="5" width="25.625" customWidth="1"/>
    <col min="6" max="6" width="19.75" bestFit="1" customWidth="1"/>
    <col min="7" max="7" width="19.375" bestFit="1" customWidth="1"/>
  </cols>
  <sheetData>
    <row r="3" spans="2:7" x14ac:dyDescent="0.4">
      <c r="B3" t="s">
        <v>4</v>
      </c>
      <c r="C3" t="s">
        <v>0</v>
      </c>
      <c r="D3" t="s">
        <v>1</v>
      </c>
      <c r="E3" t="s">
        <v>2</v>
      </c>
      <c r="F3" t="s">
        <v>32</v>
      </c>
      <c r="G3" t="s">
        <v>33</v>
      </c>
    </row>
    <row r="4" spans="2:7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56</v>
      </c>
      <c r="F4" t="str">
        <f>VLOOKUP(テーブル2[[#This Row],[ファイル種類番号]],Sheet2!$A$1:$B$5,2,FALSE)</f>
        <v>Seavlet</v>
      </c>
      <c r="G4">
        <v>2</v>
      </c>
    </row>
    <row r="5" spans="2:7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57</v>
      </c>
      <c r="F5" t="str">
        <f>VLOOKUP(テーブル2[[#This Row],[ファイル種類番号]],Sheet2!$A$1:$B$5,2,FALSE)</f>
        <v>Seavlet</v>
      </c>
      <c r="G5">
        <v>2</v>
      </c>
    </row>
    <row r="6" spans="2:7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58</v>
      </c>
      <c r="F6" t="str">
        <f>VLOOKUP(テーブル2[[#This Row],[ファイル種類番号]],Sheet2!$A$1:$B$5,2,FALSE)</f>
        <v>Seavlet</v>
      </c>
      <c r="G6">
        <v>2</v>
      </c>
    </row>
    <row r="7" spans="2:7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59</v>
      </c>
      <c r="F7" t="str">
        <f>VLOOKUP(テーブル2[[#This Row],[ファイル種類番号]],Sheet2!$A$1:$B$5,2,FALSE)</f>
        <v>Seavlet</v>
      </c>
      <c r="G7">
        <v>2</v>
      </c>
    </row>
    <row r="8" spans="2:7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60</v>
      </c>
      <c r="F8" t="str">
        <f>VLOOKUP(テーブル2[[#This Row],[ファイル種類番号]],Sheet2!$A$1:$B$5,2,FALSE)</f>
        <v>Seavlet</v>
      </c>
      <c r="G8">
        <v>2</v>
      </c>
    </row>
    <row r="9" spans="2:7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t="str">
        <f>VLOOKUP(テーブル2[[#This Row],[ファイル種類番号]],Sheet2!$A$1:$B$5,2,FALSE)</f>
        <v>DAO</v>
      </c>
      <c r="G9">
        <v>3</v>
      </c>
    </row>
    <row r="10" spans="2:7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62</v>
      </c>
      <c r="F10" t="str">
        <f>VLOOKUP(テーブル2[[#This Row],[ファイル種類番号]],Sheet2!$A$1:$B$5,2,FALSE)</f>
        <v>Bean</v>
      </c>
      <c r="G10">
        <v>4</v>
      </c>
    </row>
    <row r="11" spans="2:7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61</v>
      </c>
      <c r="F11" t="str">
        <f>VLOOKUP(テーブル2[[#This Row],[ファイル種類番号]],Sheet2!$A$1:$B$5,2,FALSE)</f>
        <v>Bean</v>
      </c>
      <c r="G11">
        <v>4</v>
      </c>
    </row>
    <row r="12" spans="2:7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63</v>
      </c>
      <c r="F12" t="str">
        <f>VLOOKUP(テーブル2[[#This Row],[ファイル種類番号]],Sheet2!$A$1:$B$5,2,FALSE)</f>
        <v>Bean</v>
      </c>
      <c r="G12">
        <v>4</v>
      </c>
    </row>
    <row r="13" spans="2:7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t="str">
        <f>VLOOKUP(テーブル2[[#This Row],[ファイル種類番号]],Sheet2!$A$1:$B$5,2,FALSE)</f>
        <v>ConnectionManager</v>
      </c>
      <c r="G13">
        <v>5</v>
      </c>
    </row>
    <row r="14" spans="2:7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t="str">
        <f>VLOOKUP(テーブル2[[#This Row],[ファイル種類番号]],Sheet2!$A$1:$B$5,2,FALSE)</f>
        <v>jspファイル</v>
      </c>
      <c r="G14">
        <v>1</v>
      </c>
    </row>
    <row r="15" spans="2:7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t="str">
        <f>VLOOKUP(テーブル2[[#This Row],[ファイル種類番号]],Sheet2!$A$1:$B$5,2,FALSE)</f>
        <v>jspファイル</v>
      </c>
      <c r="G15">
        <v>1</v>
      </c>
    </row>
    <row r="16" spans="2:7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t="str">
        <f>VLOOKUP(テーブル2[[#This Row],[ファイル種類番号]],Sheet2!$A$1:$B$5,2,FALSE)</f>
        <v>jspファイル</v>
      </c>
      <c r="G16">
        <v>1</v>
      </c>
    </row>
    <row r="17" spans="2:7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t="str">
        <f>VLOOKUP(テーブル2[[#This Row],[ファイル種類番号]],Sheet2!$A$1:$B$5,2,FALSE)</f>
        <v>jspファイル</v>
      </c>
      <c r="G17">
        <v>1</v>
      </c>
    </row>
    <row r="18" spans="2:7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t="str">
        <f>VLOOKUP(テーブル2[[#This Row],[ファイル種類番号]],Sheet2!$A$1:$B$5,2,FALSE)</f>
        <v>jspファイル</v>
      </c>
      <c r="G18">
        <v>1</v>
      </c>
    </row>
    <row r="19" spans="2:7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t="str">
        <f>VLOOKUP(テーブル2[[#This Row],[ファイル種類番号]],Sheet2!$A$1:$B$5,2,FALSE)</f>
        <v>jspファイル</v>
      </c>
      <c r="G19">
        <v>1</v>
      </c>
    </row>
    <row r="20" spans="2:7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t="str">
        <f>VLOOKUP(テーブル2[[#This Row],[ファイル種類番号]],Sheet2!$A$1:$B$5,2,FALSE)</f>
        <v>jspファイル</v>
      </c>
      <c r="G20">
        <v>1</v>
      </c>
    </row>
    <row r="21" spans="2:7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t="str">
        <f>VLOOKUP(テーブル2[[#This Row],[ファイル種類番号]],Sheet2!$A$1:$B$5,2,FALSE)</f>
        <v>jspファイル</v>
      </c>
      <c r="G21">
        <v>1</v>
      </c>
    </row>
    <row r="22" spans="2:7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t="str">
        <f>VLOOKUP(テーブル2[[#This Row],[ファイル種類番号]],Sheet2!$A$1:$B$5,2,FALSE)</f>
        <v>jspファイル</v>
      </c>
      <c r="G22">
        <v>1</v>
      </c>
    </row>
    <row r="23" spans="2:7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t="str">
        <f>VLOOKUP(テーブル2[[#This Row],[ファイル種類番号]],Sheet2!$A$1:$B$5,2,FALSE)</f>
        <v>jspファイル</v>
      </c>
      <c r="G23">
        <v>1</v>
      </c>
    </row>
    <row r="24" spans="2:7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53</v>
      </c>
      <c r="F24" t="str">
        <f>VLOOKUP(テーブル2[[#This Row],[ファイル種類番号]],Sheet2!$A$1:$B$5,2,FALSE)</f>
        <v>jspファイル</v>
      </c>
      <c r="G24">
        <v>1</v>
      </c>
    </row>
    <row r="25" spans="2:7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54</v>
      </c>
      <c r="F25" t="str">
        <f>VLOOKUP(テーブル2[[#This Row],[ファイル種類番号]],Sheet2!$A$1:$B$5,2,FALSE)</f>
        <v>jspファイル</v>
      </c>
      <c r="G25">
        <v>1</v>
      </c>
    </row>
    <row r="26" spans="2:7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55</v>
      </c>
      <c r="F26" t="str">
        <f>VLOOKUP(テーブル2[[#This Row],[ファイル種類番号]],Sheet2!$A$1:$B$5,2,FALSE)</f>
        <v>jspファイル</v>
      </c>
      <c r="G26">
        <v>1</v>
      </c>
    </row>
    <row r="27" spans="2:7" ht="35.1" customHeight="1" x14ac:dyDescent="0.4">
      <c r="B27" t="str">
        <f>VLOOKUP(テーブル2[[#This Row],[ファイル種類]],Sheet2!$B$1:$C$5,2,FALSE)</f>
        <v>View</v>
      </c>
      <c r="C27" t="str">
        <f>VLOOKUP(テーブル2[[#This Row],[ファイル種類]],Sheet2!$B$1:$D$5,3,FALSE)</f>
        <v>webapp</v>
      </c>
      <c r="D27" t="s">
        <v>64</v>
      </c>
      <c r="E27" s="1" t="s">
        <v>49</v>
      </c>
      <c r="F27" t="str">
        <f>VLOOKUP(テーブル2[[#This Row],[ファイル種類番号]],Sheet2!$A$1:$B$5,2,FALSE)</f>
        <v>jspファイル</v>
      </c>
      <c r="G27">
        <v>1</v>
      </c>
    </row>
    <row r="28" spans="2:7" ht="35.1" customHeight="1" x14ac:dyDescent="0.4">
      <c r="B28" t="str">
        <f>VLOOKUP(テーブル2[[#This Row],[ファイル種類]],Sheet2!$B$1:$C$5,2,FALSE)</f>
        <v>View</v>
      </c>
      <c r="C28" t="str">
        <f>VLOOKUP(テーブル2[[#This Row],[ファイル種類]],Sheet2!$B$1:$D$5,3,FALSE)</f>
        <v>webapp</v>
      </c>
      <c r="D28" t="s">
        <v>31</v>
      </c>
      <c r="E28" s="1" t="s">
        <v>55</v>
      </c>
      <c r="F28" t="str">
        <f>VLOOKUP(テーブル2[[#This Row],[ファイル種類番号]],Sheet2!$A$1:$B$5,2,FALSE)</f>
        <v>jspファイル</v>
      </c>
      <c r="G28">
        <v>1</v>
      </c>
    </row>
    <row r="29" spans="2:7" ht="35.1" customHeight="1" x14ac:dyDescent="0.4">
      <c r="B29" t="str">
        <f>VLOOKUP(テーブル2[[#This Row],[ファイル種類]],Sheet2!$B$1:$C$5,2,FALSE)</f>
        <v>View</v>
      </c>
      <c r="C29" t="str">
        <f>VLOOKUP(テーブル2[[#This Row],[ファイル種類]],Sheet2!$B$1:$D$5,3,FALSE)</f>
        <v>webapp</v>
      </c>
      <c r="E29" s="1"/>
      <c r="F29" t="str">
        <f>VLOOKUP(テーブル2[[#This Row],[ファイル種類番号]],Sheet2!$A$1:$B$5,2,FALSE)</f>
        <v>jspファイル</v>
      </c>
      <c r="G29">
        <v>1</v>
      </c>
    </row>
    <row r="30" spans="2:7" ht="35.1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E30" s="1"/>
      <c r="F30" t="e">
        <f>VLOOKUP(テーブル2[[#This Row],[ファイル種類番号]],Sheet2!$A$1:$B$5,2,FALSE)</f>
        <v>#N/A</v>
      </c>
    </row>
    <row r="31" spans="2:7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t="e">
        <f>VLOOKUP(テーブル2[[#This Row],[ファイル種類番号]],Sheet2!$A$1:$B$5,2,FALSE)</f>
        <v>#N/A</v>
      </c>
    </row>
    <row r="32" spans="2:7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t="e">
        <f>VLOOKUP(テーブル2[[#This Row],[ファイル種類番号]],Sheet2!$A$1:$B$5,2,FALSE)</f>
        <v>#N/A</v>
      </c>
    </row>
    <row r="33" spans="2:6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t="e">
        <f>VLOOKUP(テーブル2[[#This Row],[ファイル種類番号]],Sheet2!$A$1:$B$5,2,FALSE)</f>
        <v>#N/A</v>
      </c>
    </row>
    <row r="34" spans="2:6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t="e">
        <f>VLOOKUP(テーブル2[[#This Row],[ファイル種類番号]],Sheet2!$A$1:$B$5,2,FALSE)</f>
        <v>#N/A</v>
      </c>
    </row>
    <row r="35" spans="2:6" ht="35.1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E35" s="1"/>
      <c r="F35" t="e">
        <f>VLOOKUP(テーブル2[[#This Row],[ファイル種類番号]],Sheet2!$A$1:$B$5,2,FALSE)</f>
        <v>#N/A</v>
      </c>
    </row>
    <row r="36" spans="2:6" ht="35.1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E36" s="1"/>
      <c r="F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2026-06-05T02:55:38Z</dcterms:modified>
</cp:coreProperties>
</file>